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sts" sheetId="3" r:id="rId3"/>
    <sheet name="Costs (DNF)" sheetId="4" r:id="rId4"/>
    <sheet name="Colors" sheetId="5" r:id="rId5"/>
  </sheets>
  <definedNames>
    <definedName name="BoardQty" localSheetId="3">'Costs (DNF)'!$H$2</definedName>
    <definedName name="BoardQty" localSheetId="2">'Costs'!$H$2</definedName>
    <definedName name="_xlnm.Print_Titles" localSheetId="0">BoM!$9:$9</definedName>
    <definedName name="_xlnm.Print_Titles" localSheetId="1">DNF!$9:$9</definedName>
    <definedName name="TotalCost" localSheetId="3">'Costs (DNF)'!$H$4</definedName>
    <definedName name="TotalCost" localSheetId="2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<sst xmlns="http://schemas.openxmlformats.org/spreadsheetml/2006/main" count="1242" uniqueCount="394">
  <si>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</si>
  <si>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</si>
  <si>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</si>
  <si>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</si>
  <si>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</si>
  <si>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</si>
  <si>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</si>
  <si>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</si>
  <si>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</si>
  <si>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Supplier</t>
  </si>
  <si>
    <t>Notes</t>
  </si>
  <si>
    <t>Digikey</t>
  </si>
  <si>
    <t>Sim.Pins</t>
  </si>
  <si>
    <t>Mouser</t>
  </si>
  <si>
    <t>Field4</t>
  </si>
  <si>
    <t>Field5</t>
  </si>
  <si>
    <t>1</t>
  </si>
  <si>
    <t/>
  </si>
  <si>
    <t>C_Small</t>
  </si>
  <si>
    <t>C22 C26</t>
  </si>
  <si>
    <t>15p</t>
  </si>
  <si>
    <t>C_0805_2012Metric</t>
  </si>
  <si>
    <t>2</t>
  </si>
  <si>
    <t xml:space="preserve"> </t>
  </si>
  <si>
    <t>https://www.seielect.com/Catalog/SEI-CML.PDF</t>
  </si>
  <si>
    <t>https://www.digikey.ch/de/products/detail/stackpole-electronics-inc/CML0805C0G150JT50V/10660046</t>
  </si>
  <si>
    <t>50V/5%</t>
  </si>
  <si>
    <t>C11 C25</t>
  </si>
  <si>
    <t>18p</t>
  </si>
  <si>
    <t>https://www.digikey.ch/de/products/detail/stackpole-electronics-inc/CML0805C0G180JT50V/10659995</t>
  </si>
  <si>
    <t>3</t>
  </si>
  <si>
    <t>C29 C34 C50 C51</t>
  </si>
  <si>
    <t>1n</t>
  </si>
  <si>
    <t>4</t>
  </si>
  <si>
    <t>https://www.samsungsem.com/resources/file/global/support/product_catalog/MLCC.pdf</t>
  </si>
  <si>
    <t>https://www.digikey.ch/de/products/detail/samsung-electro-mechanics/CL21B102KBANNNC/3886678</t>
  </si>
  <si>
    <t>1000 pF, 50 V</t>
  </si>
  <si>
    <t>C31</t>
  </si>
  <si>
    <t>1.2n</t>
  </si>
  <si>
    <t>https://search.murata.co.jp/Ceramy/image/img/A01X/G101/ENG/GRM2165C2A122JA01-01.pdf</t>
  </si>
  <si>
    <t>https://www.digikey.ch/de/products/detail/murata-electronics/GRM2165C2A122JA01D/2544699</t>
  </si>
  <si>
    <t>10% 10V Ceramic Capacitor X5R</t>
  </si>
  <si>
    <t>5</t>
  </si>
  <si>
    <t>C1 C13 C15 C16 C17 C18 C19 C20 C21 C23 C30 C35 C46 C47 C48 C49 C52</t>
  </si>
  <si>
    <t>100n</t>
  </si>
  <si>
    <t>17</t>
  </si>
  <si>
    <t>https://www.digikey.ch/de/products/detail/samsung-electro-mechanics/CL21B104KBCNNNC/3886661</t>
  </si>
  <si>
    <t>10% 16V Ceramic Capacitor X7R</t>
  </si>
  <si>
    <t>1276-1180-1-ND</t>
  </si>
  <si>
    <t>581-08055C104K</t>
  </si>
  <si>
    <t>6</t>
  </si>
  <si>
    <t>C12 C14</t>
  </si>
  <si>
    <t>1u</t>
  </si>
  <si>
    <t>https://www.digikey.ch/de/products/detail/samsung-electro-mechanics/CL21B105KAFNNNE/3886724</t>
  </si>
  <si>
    <t>25V/10%</t>
  </si>
  <si>
    <t>7</t>
  </si>
  <si>
    <t>C2 C3 C4 C5 C6 C7 C8 C9 C10 C24 C27 C28 C32 C36 C37 C38 C39 C40 C41 C42 C44 C45</t>
  </si>
  <si>
    <t>10u</t>
  </si>
  <si>
    <t>22</t>
  </si>
  <si>
    <t>https://www.digikey.ch/de/products/detail/samsung-electro-mechanics/CL21X106KAYNNNE/5961182</t>
  </si>
  <si>
    <t>10% or 20% 35V Ceramic Capacitor X6S 0805 (2012 Metric)</t>
  </si>
  <si>
    <t>8</t>
  </si>
  <si>
    <t>C_Polarized</t>
  </si>
  <si>
    <t>C33 C43</t>
  </si>
  <si>
    <t>100u</t>
  </si>
  <si>
    <t>CP_EIA-7343-31_Kemet-D</t>
  </si>
  <si>
    <t>https://industrial.panasonic.com/cdbs/www-data/pdf/ABE0000/ABE0000C49.pdf</t>
  </si>
  <si>
    <t>https://www.digikey.ch/de/products/detail/panasonic-electronic-components/EEF-CX0J101R/816418</t>
  </si>
  <si>
    <t>Capacitor, SP-Cap, 100u, 6.3V, 15mR ESR</t>
  </si>
  <si>
    <t>9</t>
  </si>
  <si>
    <t>CM4</t>
  </si>
  <si>
    <t>CM1</t>
  </si>
  <si>
    <t>Raspberry-Pi-4-Compute-Module</t>
  </si>
  <si>
    <t>https://www.hirose.com/en/product/document?clcode=&amp;productname=&amp;series=DF40&amp;documenttype=Catalog&amp;lang=en&amp;documentid=en_DF40_CAT</t>
  </si>
  <si>
    <t>https://www.digikey.ch/de/products/detail/hirose-electric-co-ltd/DF40C-100DS-0-4V-51/1969476</t>
  </si>
  <si>
    <t>DF40C-100DS-0.4V(51)</t>
  </si>
  <si>
    <t>10</t>
  </si>
  <si>
    <t>LED</t>
  </si>
  <si>
    <t>D7</t>
  </si>
  <si>
    <t>LED R</t>
  </si>
  <si>
    <t>LED_0805_2012Metric</t>
  </si>
  <si>
    <t>https://www.digikey.ch/en/products/detail/harvatek-corporation/B1701URO-20D000114U1930/16671739</t>
  </si>
  <si>
    <t>1=K 2=A</t>
  </si>
  <si>
    <t>11</t>
  </si>
  <si>
    <t>D2 D6</t>
  </si>
  <si>
    <t>LED Y</t>
  </si>
  <si>
    <t>https://www.digikey.ch/en/products/detail/harvatek-corporation/B1701NG-20D000314U1930/16671738</t>
  </si>
  <si>
    <t>12</t>
  </si>
  <si>
    <t>1N4148</t>
  </si>
  <si>
    <t>D1</t>
  </si>
  <si>
    <t>SM4007</t>
  </si>
  <si>
    <t>D_SOD-123F</t>
  </si>
  <si>
    <t>https://www.mccsemi.com/pdf/Products/SM4001PL-SM4007PL(SOD-123FL).PDF</t>
  </si>
  <si>
    <t>https://www.digikey.ch/de/products/detail/micro-commercial-co/SM4007PL-TP/1793250</t>
  </si>
  <si>
    <t>13</t>
  </si>
  <si>
    <t>Polyfuse</t>
  </si>
  <si>
    <t>F1</t>
  </si>
  <si>
    <t>Polyfuse 1.8A</t>
  </si>
  <si>
    <t>Fuse_1812_4532Metric</t>
  </si>
  <si>
    <t>https://www.littelfuse.com/~/media/electronics/datasheets/resettable_ptcs/littelfuse_ptc_1812l_datasheet.pdf.pdf</t>
  </si>
  <si>
    <t>https://www.digikey.ch/de/products/detail/littelfuse-inc/1812L150-24MR/2023969</t>
  </si>
  <si>
    <t>14</t>
  </si>
  <si>
    <t>Conn_01x03_Pin</t>
  </si>
  <si>
    <t>J28</t>
  </si>
  <si>
    <t>JST PH 3</t>
  </si>
  <si>
    <t>JST_PH_B3B-PH-SM4-TB_1x03-1MP_P2.00mm_Vertical</t>
  </si>
  <si>
    <t>https://www.jst-mfg.com/product/pdf/eng/ePH.pdf</t>
  </si>
  <si>
    <t>https://www.digikey.ch/de/products/detail/jst-sales-america-inc/B3B-PH-SM4-TB/926832</t>
  </si>
  <si>
    <t>15</t>
  </si>
  <si>
    <t>Conn_01x04_Pin</t>
  </si>
  <si>
    <t>J14</t>
  </si>
  <si>
    <t>JST PH 4</t>
  </si>
  <si>
    <t>JST_PH_B4B-PH-SM4-TB_1x04-1MP_P2.00mm_Vertical</t>
  </si>
  <si>
    <t>https://www.digikey.ch/de/products/detail/jst-sales-america-inc./B4B-PH-SM4-TB/926833</t>
  </si>
  <si>
    <t>16</t>
  </si>
  <si>
    <t>AudioJack3_SwitchTR</t>
  </si>
  <si>
    <t>J1 J3</t>
  </si>
  <si>
    <t>Jack 3.5mm</t>
  </si>
  <si>
    <t>Jack_3.5mm_CUI_SJ1-3525N_Horizontal</t>
  </si>
  <si>
    <t>https://www.cuidevices.com/product/resource/sj1-352xng.pdf</t>
  </si>
  <si>
    <t>https://www.digikey.ch/de/products/detail/cui-devices/SJ1-3525NG/738690</t>
  </si>
  <si>
    <t>MIDI Out</t>
  </si>
  <si>
    <t>NMJ6HCD2</t>
  </si>
  <si>
    <t>J5 J8 J18 J19 J20 J22</t>
  </si>
  <si>
    <t>Jack 6.35mm</t>
  </si>
  <si>
    <t>Jack_6.35mm_Horizontal</t>
  </si>
  <si>
    <t>https://www.schurter.com/en/datasheet/typ_4833.2320.pdf</t>
  </si>
  <si>
    <t>https://www.digikey.ch/de/products/detail/schurter-inc/4833-2320/2644235</t>
  </si>
  <si>
    <t>EXP1 EXP2 Audio IN Right Audio OUT Left Audio OUT Right Audio IN Left</t>
  </si>
  <si>
    <t>18</t>
  </si>
  <si>
    <t>Raspberry_Sound_Card</t>
  </si>
  <si>
    <t>J27</t>
  </si>
  <si>
    <t>Pedalboard Soundcard</t>
  </si>
  <si>
    <t>Pedalboard_Soundcard</t>
  </si>
  <si>
    <t>19</t>
  </si>
  <si>
    <t>Screw_Terminal_01x02</t>
  </si>
  <si>
    <t>J6</t>
  </si>
  <si>
    <t>TerminalBlock_Phoenix_MKDS-1,5-2_1x02_P5.00mm_Horizontal</t>
  </si>
  <si>
    <t>https://www.phoenixcontact.com/en-us/products/printed-circuit-board-terminal-mkds-15-2-1715022?type=pdf</t>
  </si>
  <si>
    <t>https://www.digikey.ch/de/products/detail/phoenix-contact/1715022/260626</t>
  </si>
  <si>
    <t>20</t>
  </si>
  <si>
    <t>USB_A</t>
  </si>
  <si>
    <t>J10</t>
  </si>
  <si>
    <t>USB_A_Molex_67643_Horizontal</t>
  </si>
  <si>
    <t>https://www.molex.com/en-us/products/part-detail/676433910?display=pdf</t>
  </si>
  <si>
    <t>21</t>
  </si>
  <si>
    <t>USB_OTG</t>
  </si>
  <si>
    <t>J9</t>
  </si>
  <si>
    <t>USB_Micro-B_Amphenol_10103594-0001LF_Horizontal</t>
  </si>
  <si>
    <t>https://cdn.amphenol-cs.com/media/wysiwyg/files/drawing/10103594.pdf</t>
  </si>
  <si>
    <t>L_Ferrite</t>
  </si>
  <si>
    <t>L1 L2 L3 L4</t>
  </si>
  <si>
    <t>120_100MHz</t>
  </si>
  <si>
    <t>L_0603_1608Metric</t>
  </si>
  <si>
    <t>https://www.murata.com/products/productdata/8796738650142/ENFA0003.pdf</t>
  </si>
  <si>
    <t>https://www.digikey.ch/de/products/detail/murata-electronics/BLM18KG121TN1D/1982762</t>
  </si>
  <si>
    <t>23</t>
  </si>
  <si>
    <t>L</t>
  </si>
  <si>
    <t>L5</t>
  </si>
  <si>
    <t>SRN6045TA-3R3Y</t>
  </si>
  <si>
    <t>L_Bourns_SRN6045TA</t>
  </si>
  <si>
    <t>https://www.bourns.com/docs/Product-Datasheets/SRN6045TA.pdf</t>
  </si>
  <si>
    <t>https://www.digikey.ch/de/products/detail/bourns-inc/SRN6045TA-3R3Y/6155103</t>
  </si>
  <si>
    <t>3.3µH Semi-Shielded Wirewound Inductor 7.8A 21mOhm Nonstandard</t>
  </si>
  <si>
    <t>24</t>
  </si>
  <si>
    <t>FDS4435BZ</t>
  </si>
  <si>
    <t>Q1</t>
  </si>
  <si>
    <t>SO08-E3</t>
  </si>
  <si>
    <t>https://www.onsemi.com/pdf/datasheet/fds4435bz_f085-d.pdf</t>
  </si>
  <si>
    <t>https://www.digikey.ch/de/products/detail/onsemi/FDS4435BZ/1305763</t>
  </si>
  <si>
    <t>25</t>
  </si>
  <si>
    <t>R_Small</t>
  </si>
  <si>
    <t>R5 R13</t>
  </si>
  <si>
    <t>10R</t>
  </si>
  <si>
    <t>R_0805_2012Metric</t>
  </si>
  <si>
    <t>https://www.digikey.ch/de/products/detail/stackpole-electronics-inc/RNCP0805FTD10R0/2240197</t>
  </si>
  <si>
    <t>Resistor 10R 1% 63mW</t>
  </si>
  <si>
    <t>26</t>
  </si>
  <si>
    <t>R6 R10</t>
  </si>
  <si>
    <t>27R</t>
  </si>
  <si>
    <t>https://www.digikey.ch/de/products/detail/stackpole-electronics-inc/RMCF0805FT27R0/1712920</t>
  </si>
  <si>
    <t>27</t>
  </si>
  <si>
    <t>R4</t>
  </si>
  <si>
    <t>33R</t>
  </si>
  <si>
    <t>https://www.digikey.ch/de/products/detail/stackpole-electronics-inc/RMCF0805FT33R0/1760586</t>
  </si>
  <si>
    <t>28</t>
  </si>
  <si>
    <t>R3 R7 R20</t>
  </si>
  <si>
    <t>220R</t>
  </si>
  <si>
    <t>https://www.digikey.ch/de/products/detail/stackpole-electronics-inc/RMCF0805FT220R/1760238</t>
  </si>
  <si>
    <t>29</t>
  </si>
  <si>
    <t>R1 R2 R8 R11 R16</t>
  </si>
  <si>
    <t>1K</t>
  </si>
  <si>
    <t>https://www.digikey.ch/de/products/detail/stackpole-electronics-inc/RNCP0805FTD1K00/2240229</t>
  </si>
  <si>
    <t>30</t>
  </si>
  <si>
    <t>R15 R17 R21 R22 R23</t>
  </si>
  <si>
    <t>2K2</t>
  </si>
  <si>
    <t>https://www.digikey.ch/de/products/detail/stackpole-electronics-inc/RMCF0805FT2K20/1760345</t>
  </si>
  <si>
    <t>Resistor 2.2K 1% 63mW</t>
  </si>
  <si>
    <t>31</t>
  </si>
  <si>
    <t>R18 R19</t>
  </si>
  <si>
    <t>3K9</t>
  </si>
  <si>
    <t>https://www.digikey.ch/de/products/detail/stackpole-electronics-inc/RMCF0805FT3K90/1760599</t>
  </si>
  <si>
    <t>32</t>
  </si>
  <si>
    <t>R12 R24</t>
  </si>
  <si>
    <t>12K</t>
  </si>
  <si>
    <t>Resistor 12K 1% 63mW</t>
  </si>
  <si>
    <t>33</t>
  </si>
  <si>
    <t>R14</t>
  </si>
  <si>
    <t>20K</t>
  </si>
  <si>
    <t>https://www.digikey.ch/de/products/detail/stackpole-electronics-inc/RMCF0805FT20K0/1760314</t>
  </si>
  <si>
    <t>Resistor 20K 1% 63mW</t>
  </si>
  <si>
    <t>34</t>
  </si>
  <si>
    <t>R25 R26 R27 R28 R29</t>
  </si>
  <si>
    <t>36K</t>
  </si>
  <si>
    <t>35</t>
  </si>
  <si>
    <t>RotaryEncoder_Switch</t>
  </si>
  <si>
    <t>SW1 SW2</t>
  </si>
  <si>
    <t>24P/R 24mm</t>
  </si>
  <si>
    <t>RotaryEncoder_Alps_EC11E-Switch_Vertical_H20mm_CircularMountingHoles</t>
  </si>
  <si>
    <t>https://www.bourns.com/docs/Product-Datasheets/PEC11R.pdf</t>
  </si>
  <si>
    <t>https://www.digikey.ch/en/products/detail/bourns-inc/PEC11R-4225F-S0024/4499659</t>
  </si>
  <si>
    <t>VOL GAIN</t>
  </si>
  <si>
    <t>36</t>
  </si>
  <si>
    <t>SW_Omron_B3FS</t>
  </si>
  <si>
    <t>SW5 SW6 SW7 SW8 SW9 SW10</t>
  </si>
  <si>
    <t>Tactile Button</t>
  </si>
  <si>
    <t>SW_PUSH-12mm_Wuerth</t>
  </si>
  <si>
    <t>https://www.we-online.com/components/products/datasheet/430172043816.pdf</t>
  </si>
  <si>
    <t>https://www.digikey.ch/de/products/detail/w%C3%BCrth-elektronik/430162043826/9950802</t>
  </si>
  <si>
    <t>D E F A B C</t>
  </si>
  <si>
    <t>37</t>
  </si>
  <si>
    <t>74AHCT1G32SE-7</t>
  </si>
  <si>
    <t>U1 U7</t>
  </si>
  <si>
    <t>SOT-353_SC-70-5</t>
  </si>
  <si>
    <t>https://www.diodes.com/assets/Datasheets/74AHCT1G32.pdf</t>
  </si>
  <si>
    <t>https://www.digikey.ch/de/products/detail/diodes-incorporated/74AHCT1G32SE-7/2711987</t>
  </si>
  <si>
    <t>38</t>
  </si>
  <si>
    <t>AP2553W6</t>
  </si>
  <si>
    <t>U10</t>
  </si>
  <si>
    <t>SOT-23-6</t>
  </si>
  <si>
    <t>https://www.diodes.com/assets/Datasheets/AP255x.pdf</t>
  </si>
  <si>
    <t>https://www.digikey.ch/en/products/detail/AP2553W6-7/AP2553W6-7DICT-ND/3882112</t>
  </si>
  <si>
    <t>AP2553W6-7DICT-ND</t>
  </si>
  <si>
    <t>39</t>
  </si>
  <si>
    <t>AP64351</t>
  </si>
  <si>
    <t>U6</t>
  </si>
  <si>
    <t>AP64501SP-13</t>
  </si>
  <si>
    <t>SOIC-8-1EP_3.9x4.9mm_P1.27mm_EP2.95x4.9mm_Mask2.71x3.4mm_ThermalVias</t>
  </si>
  <si>
    <t>https://www.diodes.com/assets/Datasheets/AP64501.pdf</t>
  </si>
  <si>
    <t>https://www.digikey.ch/de/products/detail/diodes-incorporated/AP64501SP-13/10419715</t>
  </si>
  <si>
    <t>40</t>
  </si>
  <si>
    <t>AT24CS01-STUM</t>
  </si>
  <si>
    <t>U12</t>
  </si>
  <si>
    <t>SOT-23-5</t>
  </si>
  <si>
    <t>http://ww1.microchip.com/downloads/en/DeviceDoc/Atmel-8815-SEEPROM-AT24CS01-02-Datasheet.pdf</t>
  </si>
  <si>
    <t>https://www.digikey.ch/de/products/detail/microchip-technology/AT24CS01-STUM-T/3973063</t>
  </si>
  <si>
    <t>41</t>
  </si>
  <si>
    <t>FSUSB42MUX</t>
  </si>
  <si>
    <t>U8</t>
  </si>
  <si>
    <t>TSSOP-10_3x3mm_P0.5mm</t>
  </si>
  <si>
    <t>https://www.onsemi.com/pub/Collateral/FSUSB42-D.PDF</t>
  </si>
  <si>
    <t>https://www.digikey.ch/de/products/detail/onsemi/FSUSB42MUX/2036916</t>
  </si>
  <si>
    <t>42</t>
  </si>
  <si>
    <t>NCP1117-3.3_SOT223</t>
  </si>
  <si>
    <t>U5</t>
  </si>
  <si>
    <t>SOT-223-3_TabPin2</t>
  </si>
  <si>
    <t>https://www.diodes.com/assets/Datasheets/AZ1117I.pdf</t>
  </si>
  <si>
    <t>https://www.digikey.ch/de/products/detail/diodes-incorporated/AZ1117IH-3-3TRG1/5699672</t>
  </si>
  <si>
    <t>43</t>
  </si>
  <si>
    <t>RP2040</t>
  </si>
  <si>
    <t>U3</t>
  </si>
  <si>
    <t>RP2040-QFN-56</t>
  </si>
  <si>
    <t>https://datasheets.raspberrypi.com/rp2040/rp2040-datasheet.pdf</t>
  </si>
  <si>
    <t>https://www.digikey.ch/de/products/detail/raspberry-pi/SC0914-13/14306010</t>
  </si>
  <si>
    <t>44</t>
  </si>
  <si>
    <t>TLP2761</t>
  </si>
  <si>
    <t>U2</t>
  </si>
  <si>
    <t>SO-6L_10x3.84mm_P1.27mm</t>
  </si>
  <si>
    <t>https://toshiba.semicon-storage.com/info/docget.jsp?did=28819&amp;prodName=TLP2761</t>
  </si>
  <si>
    <t>https://www.digikey.ch/de/products/detail/toshiba-semiconductor-and-storage/TLP2761-TP-E/7809713</t>
  </si>
  <si>
    <t>45</t>
  </si>
  <si>
    <t>TPD4EUSB30</t>
  </si>
  <si>
    <t>U11</t>
  </si>
  <si>
    <t>USON-10_2.5x1.0mm_P0.5mm</t>
  </si>
  <si>
    <t>http://www.ti.com/lit/ds/symlink/tpd2eusb30a.pdf</t>
  </si>
  <si>
    <t>https://www.digikey.ch/de/products/detail/texas-instruments/TPD4EUSB30DQAR/2503665</t>
  </si>
  <si>
    <t>46</t>
  </si>
  <si>
    <t>USB2514B_Bi</t>
  </si>
  <si>
    <t>U9</t>
  </si>
  <si>
    <t>QFN-36-1EP_6x6mm_P0.5mm_EP3.7x3.7mm</t>
  </si>
  <si>
    <t>http://ww1.microchip.com/downloads/en/DeviceDoc/00001692C.pdf</t>
  </si>
  <si>
    <t>https://www.digikey.ch/de/products/detail/microchip-technology/USB2514B-I-M2/5639468</t>
  </si>
  <si>
    <t>47</t>
  </si>
  <si>
    <t>W25Q128JVS-Memory_Flash</t>
  </si>
  <si>
    <t>U4</t>
  </si>
  <si>
    <t>W25Q128JVS</t>
  </si>
  <si>
    <t>SOIC-8_5.23x5.23mm_P1.27mm</t>
  </si>
  <si>
    <t>https://www.winbond.com/resource-files/w25q128jv%20revf%2003272018%20plus.pdf</t>
  </si>
  <si>
    <t>https://www.digikey.ch/de/products/detail/winbond-electronics/W25Q128JVSIQ-TR/5803944</t>
  </si>
  <si>
    <t>48</t>
  </si>
  <si>
    <t>ABM8-272-T3</t>
  </si>
  <si>
    <t>Y2</t>
  </si>
  <si>
    <t>ABM8-272-T3_ABR</t>
  </si>
  <si>
    <t>https://abracon.com/datasheets/ABM8-272-T3.pdf</t>
  </si>
  <si>
    <t>https://www.digikey.ch/de/products/detail/abracon-llc/ABM8-272-T3/22472366</t>
  </si>
  <si>
    <t>49</t>
  </si>
  <si>
    <t>Crystal_Small</t>
  </si>
  <si>
    <t>Y1</t>
  </si>
  <si>
    <t>Crystal_SMD_5032-2Pin_5.0x3.2mm</t>
  </si>
  <si>
    <t>https://www.ctscorp.com/Files/DataSheets/Passives/FCP/Crystals/crystals-445-datasheet.pdf</t>
  </si>
  <si>
    <t>https://www.digikey.ch/en/products/detail/cts-frequency-controls/445C33D24M00000/3135787</t>
  </si>
  <si>
    <t>KiBot Bill of Materials</t>
  </si>
  <si>
    <t>Schematic:</t>
  </si>
  <si>
    <t>pedalboard-hw</t>
  </si>
  <si>
    <t>Variant:</t>
  </si>
  <si>
    <t>default</t>
  </si>
  <si>
    <t>Revision:</t>
  </si>
  <si>
    <t>4.0.1-RC</t>
  </si>
  <si>
    <t>Date:</t>
  </si>
  <si>
    <t>2024-10-16</t>
  </si>
  <si>
    <t>KiCad Version:</t>
  </si>
  <si>
    <t>10.0.1-10.0.1~ubuntu25.10.1</t>
  </si>
  <si>
    <t>Component Groups:</t>
  </si>
  <si>
    <t>Component Count:</t>
  </si>
  <si>
    <t>138 (118 SMD/ 20 THT)</t>
  </si>
  <si>
    <t>Fitted Components:</t>
  </si>
  <si>
    <t>128 (115 SMD/ 13 THT)</t>
  </si>
  <si>
    <t>Number of PCBs:</t>
  </si>
  <si>
    <t>Total Components:</t>
  </si>
  <si>
    <t>Barrel_Jack_Switch</t>
  </si>
  <si>
    <t>J7</t>
  </si>
  <si>
    <t>Barrel_Jack_MountingPin</t>
  </si>
  <si>
    <t>BarrelJack_Wuerth_6941xx301002</t>
  </si>
  <si>
    <t xml:space="preserve"> (DNF)</t>
  </si>
  <si>
    <t>https://www.we-online.com/components/products/datasheet/6941xx301002.pdf</t>
  </si>
  <si>
    <t>https://www.digikey.ch/de/products/detail/w%C3%BCrth-elektronik/694106301002/5047522</t>
  </si>
  <si>
    <t>DIN-5_180degree</t>
  </si>
  <si>
    <t>J2 J4</t>
  </si>
  <si>
    <t>DIN5</t>
  </si>
  <si>
    <t>CP-2350</t>
  </si>
  <si>
    <t>https://www.switchcraft.com/assets/1/24/57PC5F_CD.pdf</t>
  </si>
  <si>
    <t>https://www.digikey.ch/de/products/detail/switchcraft-inc/57PC5F/275385</t>
  </si>
  <si>
    <t>MIDI In MIDI Out</t>
  </si>
  <si>
    <t>J12 J16</t>
  </si>
  <si>
    <t>Debug</t>
  </si>
  <si>
    <t>PinHeader_1x03_P2.54mm_Vertical</t>
  </si>
  <si>
    <t>J25 J26</t>
  </si>
  <si>
    <t>JST_PH_B3B-PH-K_1x03_P2.00mm_Vertical</t>
  </si>
  <si>
    <t>https://www.digikey.ch/en/products/detail/jst-sales-america-inc/B3B-PH-K-S/926612</t>
  </si>
  <si>
    <t>R9</t>
  </si>
  <si>
    <t>DNF</t>
  </si>
  <si>
    <t>SW3 SW4</t>
  </si>
  <si>
    <t>Micro Button</t>
  </si>
  <si>
    <t>SW_SPST_B3U-1000P</t>
  </si>
  <si>
    <t>https://omronfs.omron.com/en_US/ecb/products/pdf/en-b3u.pdf</t>
  </si>
  <si>
    <t>https://www.digikey.ch/en/products/detail/omron-electronics-inc-emc-div/B3U-1000P/1534338</t>
  </si>
  <si>
    <t>Boot Reset</t>
  </si>
  <si>
    <t>Global Part Info</t>
  </si>
  <si>
    <t>Manf#</t>
  </si>
  <si>
    <t>Build Quantity</t>
  </si>
  <si>
    <t>Unit$</t>
  </si>
  <si>
    <t>Ext$</t>
  </si>
  <si>
    <t>Light emitting diode</t>
  </si>
  <si>
    <t>USB Type A connector</t>
  </si>
  <si>
    <t>USB mini/micro connector</t>
  </si>
  <si>
    <t>Resistor, small symbol</t>
  </si>
  <si>
    <t>I2C Serial EEPROM, 1Kb (128x8) with Unique Serial Number, SOT-23-5</t>
  </si>
  <si>
    <t>Low-Power, Two-Port, High-Speed, USB2.0 (480Mbps) or UART Switch, MSOP-10</t>
  </si>
  <si>
    <t>15-Mbps inverting photocouple,5 kVrms, 2.7 - 5.5 Vdd, push-pull output</t>
  </si>
  <si>
    <t>4-Channel ESD Protection for Super-Speed USB 3.0 Interface, USON-10</t>
  </si>
  <si>
    <t>USB 2.0 Hi-Speed Hub Controller</t>
  </si>
  <si>
    <t>Two pin crystal, small symbol</t>
  </si>
  <si>
    <t>Board Qty:</t>
  </si>
  <si>
    <t>Total Cost:</t>
  </si>
  <si>
    <t>Unit Cost:</t>
  </si>
  <si>
    <t>Created:</t>
  </si>
  <si>
    <t>2026-05-12 07:06:18</t>
  </si>
  <si>
    <t>KiCost® v1.1.20 + KiBot v1.8.6</t>
  </si>
  <si>
    <t>5-pin DIN connector (5-pin DIN-5 stereo)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</si>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</sst>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0" fillId="13" borderId="0" xfId="0" applyFont="1" applyFill="1"/>
    <xf numFmtId="0" fontId="10" fillId="14" borderId="0" xfId="0" applyFont="1" applyFill="1"/>
    <xf numFmtId="0" fontId="0" fillId="15" borderId="0" xfId="0" applyFill="1"/>
    <xf numFmtId="0" fontId="11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2378784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1531059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ielect.com/Catalog/SEI-CML.PDF" TargetMode="External"/><Relationship Id="rId2" Type="http://schemas.openxmlformats.org/officeDocument/2006/relationships/hyperlink" Target="https://www.seielect.com/Catalog/SEI-CML.PDF" TargetMode="External"/><Relationship Id="rId3" Type="http://schemas.openxmlformats.org/officeDocument/2006/relationships/hyperlink" Target="https://www.samsungsem.com/resources/file/global/support/product_catalog/MLCC.pdf" TargetMode="External"/><Relationship Id="rId4" Type="http://schemas.openxmlformats.org/officeDocument/2006/relationships/hyperlink" Target="https://search.murata.co.jp/Ceramy/image/img/A01X/G101/ENG/GRM2165C2A122JA01-01.pdf" TargetMode="External"/><Relationship Id="rId5" Type="http://schemas.openxmlformats.org/officeDocument/2006/relationships/hyperlink" Target="https://www.samsungsem.com/resources/file/global/support/product_catalog/MLCC.pdf" TargetMode="External"/><Relationship Id="rId6" Type="http://schemas.openxmlformats.org/officeDocument/2006/relationships/hyperlink" Target="https://www.samsungsem.com/resources/file/global/support/product_catalog/MLCC.pdf" TargetMode="External"/><Relationship Id="rId7" Type="http://schemas.openxmlformats.org/officeDocument/2006/relationships/hyperlink" Target="https://www.samsungsem.com/resources/file/global/support/product_catalog/MLCC.pdf" TargetMode="External"/><Relationship Id="rId8" Type="http://schemas.openxmlformats.org/officeDocument/2006/relationships/hyperlink" Target="https://industrial.panasonic.com/cdbs/www-data/pdf/ABE0000/ABE0000C49.pdf" TargetMode="External"/><Relationship Id="rId9" Type="http://schemas.openxmlformats.org/officeDocument/2006/relationships/hyperlink" Target="https://www.hirose.com/en/product/document?clcode=&amp;productname=&amp;series=DF40&amp;documenttype=Catalog&amp;lang=en&amp;documentid=en_DF40_CAT" TargetMode="External"/><Relationship Id="rId10" Type="http://schemas.openxmlformats.org/officeDocument/2006/relationships/hyperlink" Target="https://www.mccsemi.com/pdf/Products/SM4001PL-SM4007PL(SOD-123FL).PDF" TargetMode="External"/><Relationship Id="rId11" Type="http://schemas.openxmlformats.org/officeDocument/2006/relationships/hyperlink" Target="https://www.littelfuse.com/~/media/electronics/datasheets/resettable_ptcs/littelfuse_ptc_1812l_datasheet.pdf.pdf" TargetMode="External"/><Relationship Id="rId12" Type="http://schemas.openxmlformats.org/officeDocument/2006/relationships/hyperlink" Target="https://www.jst-mfg.com/product/pdf/eng/ePH.pdf" TargetMode="External"/><Relationship Id="rId13" Type="http://schemas.openxmlformats.org/officeDocument/2006/relationships/hyperlink" Target="https://www.jst-mfg.com/product/pdf/eng/ePH.pdf" TargetMode="External"/><Relationship Id="rId14" Type="http://schemas.openxmlformats.org/officeDocument/2006/relationships/hyperlink" Target="https://www.cuidevices.com/product/resource/sj1-352xng.pdf" TargetMode="External"/><Relationship Id="rId15" Type="http://schemas.openxmlformats.org/officeDocument/2006/relationships/hyperlink" Target="https://www.schurter.com/en/datasheet/typ_4833.2320.pdf" TargetMode="External"/><Relationship Id="rId16" Type="http://schemas.openxmlformats.org/officeDocument/2006/relationships/hyperlink" Target="https://www.phoenixcontact.com/en-us/products/printed-circuit-board-terminal-mkds-15-2-1715022?type=pdf" TargetMode="External"/><Relationship Id="rId17" Type="http://schemas.openxmlformats.org/officeDocument/2006/relationships/hyperlink" Target="https://www.molex.com/en-us/products/part-detail/676433910?display=pdf" TargetMode="External"/><Relationship Id="rId18" Type="http://schemas.openxmlformats.org/officeDocument/2006/relationships/hyperlink" Target="https://cdn.amphenol-cs.com/media/wysiwyg/files/drawing/10103594.pdf" TargetMode="External"/><Relationship Id="rId19" Type="http://schemas.openxmlformats.org/officeDocument/2006/relationships/hyperlink" Target="https://www.murata.com/products/productdata/8796738650142/ENFA0003.pdf" TargetMode="External"/><Relationship Id="rId20" Type="http://schemas.openxmlformats.org/officeDocument/2006/relationships/hyperlink" Target="https://www.bourns.com/docs/Product-Datasheets/SRN6045TA.pdf" TargetMode="External"/><Relationship Id="rId21" Type="http://schemas.openxmlformats.org/officeDocument/2006/relationships/hyperlink" Target="https://www.onsemi.com/pdf/datasheet/fds4435bz_f085-d.pdf" TargetMode="External"/><Relationship Id="rId22" Type="http://schemas.openxmlformats.org/officeDocument/2006/relationships/hyperlink" Target="https://www.bourns.com/docs/Product-Datasheets/PEC11R.pdf" TargetMode="External"/><Relationship Id="rId23" Type="http://schemas.openxmlformats.org/officeDocument/2006/relationships/hyperlink" Target="https://www.we-online.com/components/products/datasheet/430172043816.pdf" TargetMode="External"/><Relationship Id="rId24" Type="http://schemas.openxmlformats.org/officeDocument/2006/relationships/hyperlink" Target="https://www.diodes.com/assets/Datasheets/74AHCT1G32.pdf" TargetMode="External"/><Relationship Id="rId25" Type="http://schemas.openxmlformats.org/officeDocument/2006/relationships/hyperlink" Target="https://www.diodes.com/assets/Datasheets/AP255x.pdf" TargetMode="External"/><Relationship Id="rId26" Type="http://schemas.openxmlformats.org/officeDocument/2006/relationships/hyperlink" Target="https://www.diodes.com/assets/Datasheets/AP64501.pdf" TargetMode="External"/><Relationship Id="rId27" Type="http://schemas.openxmlformats.org/officeDocument/2006/relationships/hyperlink" Target="http://ww1.microchip.com/downloads/en/DeviceDoc/Atmel-8815-SEEPROM-AT24CS01-02-Datasheet.pdf" TargetMode="External"/><Relationship Id="rId28" Type="http://schemas.openxmlformats.org/officeDocument/2006/relationships/hyperlink" Target="https://www.onsemi.com/pub/Collateral/FSUSB42-D.PDF" TargetMode="External"/><Relationship Id="rId29" Type="http://schemas.openxmlformats.org/officeDocument/2006/relationships/hyperlink" Target="https://www.diodes.com/assets/Datasheets/AZ1117I.pdf" TargetMode="External"/><Relationship Id="rId30" Type="http://schemas.openxmlformats.org/officeDocument/2006/relationships/hyperlink" Target="https://datasheets.raspberrypi.com/rp2040/rp2040-datasheet.pdf" TargetMode="External"/><Relationship Id="rId31" Type="http://schemas.openxmlformats.org/officeDocument/2006/relationships/hyperlink" Target="https://toshiba.semicon-storage.com/info/docget.jsp?did=28819&amp;prodName=TLP2761" TargetMode="External"/><Relationship Id="rId32" Type="http://schemas.openxmlformats.org/officeDocument/2006/relationships/hyperlink" Target="http://www.ti.com/lit/ds/symlink/tpd2eusb30a.pdf" TargetMode="External"/><Relationship Id="rId33" Type="http://schemas.openxmlformats.org/officeDocument/2006/relationships/hyperlink" Target="http://ww1.microchip.com/downloads/en/DeviceDoc/00001692C.pdf" TargetMode="External"/><Relationship Id="rId34" Type="http://schemas.openxmlformats.org/officeDocument/2006/relationships/hyperlink" Target="https://www.winbond.com/resource-files/w25q128jv%20revf%2003272018%20plus.pdf" TargetMode="External"/><Relationship Id="rId35" Type="http://schemas.openxmlformats.org/officeDocument/2006/relationships/hyperlink" Target="https://abracon.com/datasheets/ABM8-272-T3.pdf" TargetMode="External"/><Relationship Id="rId36" Type="http://schemas.openxmlformats.org/officeDocument/2006/relationships/hyperlink" Target="https://www.ctscorp.com/Files/DataSheets/Passives/FCP/Crystals/crystals-445-datasheet.pdf" TargetMode="External"/><Relationship Id="rId37" Type="http://schemas.openxmlformats.org/officeDocument/2006/relationships/drawing" Target="../drawings/drawing3.xml"/><Relationship Id="rId38" Type="http://schemas.openxmlformats.org/officeDocument/2006/relationships/vmlDrawing" Target="../drawings/vmlDrawing1.vml"/><Relationship Id="rId39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e-online.com/components/products/datasheet/6941xx301002.pdf" TargetMode="External"/><Relationship Id="rId2" Type="http://schemas.openxmlformats.org/officeDocument/2006/relationships/hyperlink" Target="https://www.switchcraft.com/assets/1/24/57PC5F_CD.pdf" TargetMode="External"/><Relationship Id="rId3" Type="http://schemas.openxmlformats.org/officeDocument/2006/relationships/hyperlink" Target="https://www.jst-mfg.com/product/pdf/eng/ePH.pdf" TargetMode="External"/><Relationship Id="rId4" Type="http://schemas.openxmlformats.org/officeDocument/2006/relationships/hyperlink" Target="https://omronfs.omron.com/en_US/ecb/products/pdf/en-b3u.pdf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2.vml"/><Relationship Id="rId7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8.7109375" customWidth="1"/>
    <col min="4" max="4" width="60.7109375" customWidth="1"/>
    <col min="5" max="5" width="25.7109375" customWidth="1"/>
    <col min="6" max="6" width="60.7109375" customWidth="1"/>
    <col min="7" max="7" width="26.7109375" customWidth="1"/>
    <col min="8" max="8" width="16.7109375" customWidth="1"/>
    <col min="9" max="11" width="60.7109375" customWidth="1"/>
    <col min="12" max="12" width="19.7109375" customWidth="1"/>
    <col min="13" max="13" width="18.7109375" customWidth="1"/>
    <col min="14" max="14" width="19.7109375" customWidth="1"/>
    <col min="15" max="15" width="16.7109375" customWidth="1"/>
    <col min="16" max="16" width="22.7109375" customWidth="1"/>
  </cols>
  <sheetData>
    <row r="1" spans="1:16" ht="32" customHeight="1">
      <c r="C1" s="1" t="s">
        <v>311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312</v>
      </c>
      <c r="D2" s="3" t="s">
        <v>313</v>
      </c>
      <c r="E2" s="2" t="s">
        <v>322</v>
      </c>
      <c r="F2" s="3">
        <v>55</v>
      </c>
    </row>
    <row r="3" spans="1:16">
      <c r="C3" s="2" t="s">
        <v>314</v>
      </c>
      <c r="D3" s="3" t="s">
        <v>315</v>
      </c>
      <c r="E3" s="2" t="s">
        <v>323</v>
      </c>
      <c r="F3" s="3" t="s">
        <v>324</v>
      </c>
    </row>
    <row r="4" spans="1:16">
      <c r="C4" s="2" t="s">
        <v>316</v>
      </c>
      <c r="D4" s="3" t="s">
        <v>317</v>
      </c>
      <c r="E4" s="2" t="s">
        <v>325</v>
      </c>
      <c r="F4" s="3" t="s">
        <v>326</v>
      </c>
    </row>
    <row r="5" spans="1:16">
      <c r="C5" s="2" t="s">
        <v>318</v>
      </c>
      <c r="D5" s="3" t="s">
        <v>319</v>
      </c>
      <c r="E5" s="2" t="s">
        <v>327</v>
      </c>
      <c r="F5" s="3">
        <v>1</v>
      </c>
    </row>
    <row r="6" spans="1:16">
      <c r="C6" s="2" t="s">
        <v>320</v>
      </c>
      <c r="D6" s="3" t="s">
        <v>321</v>
      </c>
      <c r="E6" s="2" t="s">
        <v>328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5" t="s">
        <v>22</v>
      </c>
      <c r="H9" s="5" t="s">
        <v>23</v>
      </c>
      <c r="I9" s="7" t="s">
        <v>24</v>
      </c>
      <c r="J9" s="8" t="s">
        <v>25</v>
      </c>
      <c r="K9" s="8" t="s">
        <v>26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0" t="s">
        <v>17</v>
      </c>
      <c r="C10" s="11" t="s">
        <v>18</v>
      </c>
      <c r="D10" s="11" t="s">
        <v>27</v>
      </c>
      <c r="E10" s="11" t="s">
        <v>28</v>
      </c>
      <c r="F10" s="11" t="s">
        <v>21</v>
      </c>
      <c r="G10" s="9" t="s">
        <v>22</v>
      </c>
      <c r="H10" s="9" t="s">
        <v>23</v>
      </c>
      <c r="I10" s="11" t="s">
        <v>24</v>
      </c>
      <c r="J10" s="12" t="s">
        <v>29</v>
      </c>
      <c r="K10" s="12" t="s">
        <v>26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 ht="30" customHeight="1">
      <c r="A11" s="5" t="s">
        <v>30</v>
      </c>
      <c r="B11" s="6" t="s">
        <v>17</v>
      </c>
      <c r="C11" s="7" t="s">
        <v>18</v>
      </c>
      <c r="D11" s="7" t="s">
        <v>31</v>
      </c>
      <c r="E11" s="7" t="s">
        <v>32</v>
      </c>
      <c r="F11" s="7" t="s">
        <v>21</v>
      </c>
      <c r="G11" s="5" t="s">
        <v>33</v>
      </c>
      <c r="H11" s="5" t="s">
        <v>23</v>
      </c>
      <c r="I11" s="7" t="s">
        <v>34</v>
      </c>
      <c r="J11" s="8" t="s">
        <v>35</v>
      </c>
      <c r="K11" s="8" t="s">
        <v>36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18</v>
      </c>
      <c r="D12" s="11" t="s">
        <v>37</v>
      </c>
      <c r="E12" s="11" t="s">
        <v>38</v>
      </c>
      <c r="F12" s="11" t="s">
        <v>21</v>
      </c>
      <c r="G12" s="9" t="s">
        <v>16</v>
      </c>
      <c r="H12" s="9" t="s">
        <v>23</v>
      </c>
      <c r="I12" s="11" t="s">
        <v>39</v>
      </c>
      <c r="J12" s="12" t="s">
        <v>40</v>
      </c>
      <c r="K12" s="12" t="s">
        <v>41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 ht="30" customHeight="1">
      <c r="A13" s="5" t="s">
        <v>42</v>
      </c>
      <c r="B13" s="6" t="s">
        <v>17</v>
      </c>
      <c r="C13" s="7" t="s">
        <v>18</v>
      </c>
      <c r="D13" s="7" t="s">
        <v>43</v>
      </c>
      <c r="E13" s="7" t="s">
        <v>44</v>
      </c>
      <c r="F13" s="7" t="s">
        <v>21</v>
      </c>
      <c r="G13" s="5" t="s">
        <v>45</v>
      </c>
      <c r="H13" s="5" t="s">
        <v>23</v>
      </c>
      <c r="I13" s="7" t="s">
        <v>34</v>
      </c>
      <c r="J13" s="8" t="s">
        <v>46</v>
      </c>
      <c r="K13" s="8" t="s">
        <v>47</v>
      </c>
      <c r="L13" s="8" t="s">
        <v>48</v>
      </c>
      <c r="M13" s="6" t="s">
        <v>17</v>
      </c>
      <c r="N13" s="8" t="s">
        <v>49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18</v>
      </c>
      <c r="D14" s="11" t="s">
        <v>51</v>
      </c>
      <c r="E14" s="11" t="s">
        <v>52</v>
      </c>
      <c r="F14" s="11" t="s">
        <v>21</v>
      </c>
      <c r="G14" s="9" t="s">
        <v>22</v>
      </c>
      <c r="H14" s="9" t="s">
        <v>23</v>
      </c>
      <c r="I14" s="11" t="s">
        <v>34</v>
      </c>
      <c r="J14" s="12" t="s">
        <v>53</v>
      </c>
      <c r="K14" s="12" t="s">
        <v>54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  <row r="15" spans="1:16" ht="30" customHeight="1">
      <c r="A15" s="5" t="s">
        <v>55</v>
      </c>
      <c r="B15" s="6" t="s">
        <v>17</v>
      </c>
      <c r="C15" s="7" t="s">
        <v>18</v>
      </c>
      <c r="D15" s="7" t="s">
        <v>56</v>
      </c>
      <c r="E15" s="7" t="s">
        <v>57</v>
      </c>
      <c r="F15" s="7" t="s">
        <v>21</v>
      </c>
      <c r="G15" s="5" t="s">
        <v>58</v>
      </c>
      <c r="H15" s="5" t="s">
        <v>23</v>
      </c>
      <c r="I15" s="7" t="s">
        <v>34</v>
      </c>
      <c r="J15" s="8" t="s">
        <v>59</v>
      </c>
      <c r="K15" s="8" t="s">
        <v>60</v>
      </c>
      <c r="L15" s="6" t="s">
        <v>17</v>
      </c>
      <c r="M15" s="6" t="s">
        <v>17</v>
      </c>
      <c r="N15" s="6" t="s">
        <v>17</v>
      </c>
      <c r="O15" s="6" t="s">
        <v>17</v>
      </c>
      <c r="P15" s="6" t="s">
        <v>17</v>
      </c>
    </row>
    <row r="16" spans="1:16" ht="30" customHeight="1">
      <c r="A16" s="9" t="s">
        <v>61</v>
      </c>
      <c r="B16" s="10" t="s">
        <v>17</v>
      </c>
      <c r="C16" s="11" t="s">
        <v>62</v>
      </c>
      <c r="D16" s="11" t="s">
        <v>63</v>
      </c>
      <c r="E16" s="11" t="s">
        <v>64</v>
      </c>
      <c r="F16" s="11" t="s">
        <v>65</v>
      </c>
      <c r="G16" s="9" t="s">
        <v>22</v>
      </c>
      <c r="H16" s="9" t="s">
        <v>23</v>
      </c>
      <c r="I16" s="11" t="s">
        <v>66</v>
      </c>
      <c r="J16" s="12" t="s">
        <v>67</v>
      </c>
      <c r="K16" s="12" t="s">
        <v>68</v>
      </c>
      <c r="L16" s="10" t="s">
        <v>17</v>
      </c>
      <c r="M16" s="10" t="s">
        <v>17</v>
      </c>
      <c r="N16" s="10" t="s">
        <v>17</v>
      </c>
      <c r="O16" s="10" t="s">
        <v>17</v>
      </c>
      <c r="P16" s="10" t="s">
        <v>17</v>
      </c>
    </row>
    <row r="17" spans="1:16" ht="45" customHeight="1">
      <c r="A17" s="5" t="s">
        <v>69</v>
      </c>
      <c r="B17" s="6" t="s">
        <v>17</v>
      </c>
      <c r="C17" s="7" t="s">
        <v>70</v>
      </c>
      <c r="D17" s="7" t="s">
        <v>71</v>
      </c>
      <c r="E17" s="7" t="s">
        <v>70</v>
      </c>
      <c r="F17" s="7" t="s">
        <v>72</v>
      </c>
      <c r="G17" s="5" t="s">
        <v>16</v>
      </c>
      <c r="H17" s="5" t="s">
        <v>23</v>
      </c>
      <c r="I17" s="7" t="s">
        <v>73</v>
      </c>
      <c r="J17" s="8" t="s">
        <v>74</v>
      </c>
      <c r="K17" s="8" t="s">
        <v>75</v>
      </c>
      <c r="L17" s="6" t="s">
        <v>17</v>
      </c>
      <c r="M17" s="6" t="s">
        <v>17</v>
      </c>
      <c r="N17" s="6" t="s">
        <v>17</v>
      </c>
      <c r="O17" s="6" t="s">
        <v>17</v>
      </c>
      <c r="P17" s="6" t="s">
        <v>17</v>
      </c>
    </row>
    <row r="18" spans="1:16" ht="30" customHeight="1">
      <c r="A18" s="9" t="s">
        <v>76</v>
      </c>
      <c r="B18" s="10" t="s">
        <v>17</v>
      </c>
      <c r="C18" s="11" t="s">
        <v>77</v>
      </c>
      <c r="D18" s="11" t="s">
        <v>78</v>
      </c>
      <c r="E18" s="11" t="s">
        <v>79</v>
      </c>
      <c r="F18" s="11" t="s">
        <v>80</v>
      </c>
      <c r="G18" s="9" t="s">
        <v>16</v>
      </c>
      <c r="H18" s="9" t="s">
        <v>23</v>
      </c>
      <c r="I18" s="10" t="s">
        <v>17</v>
      </c>
      <c r="J18" s="12" t="s">
        <v>81</v>
      </c>
      <c r="K18" s="10" t="s">
        <v>17</v>
      </c>
      <c r="L18" s="10" t="s">
        <v>17</v>
      </c>
      <c r="M18" s="12" t="s">
        <v>82</v>
      </c>
      <c r="N18" s="10" t="s">
        <v>17</v>
      </c>
      <c r="O18" s="10" t="s">
        <v>17</v>
      </c>
      <c r="P18" s="10" t="s">
        <v>17</v>
      </c>
    </row>
    <row r="19" spans="1:16" ht="30" customHeight="1">
      <c r="A19" s="5" t="s">
        <v>83</v>
      </c>
      <c r="B19" s="6" t="s">
        <v>17</v>
      </c>
      <c r="C19" s="7" t="s">
        <v>77</v>
      </c>
      <c r="D19" s="7" t="s">
        <v>84</v>
      </c>
      <c r="E19" s="7" t="s">
        <v>85</v>
      </c>
      <c r="F19" s="7" t="s">
        <v>80</v>
      </c>
      <c r="G19" s="5" t="s">
        <v>22</v>
      </c>
      <c r="H19" s="5" t="s">
        <v>23</v>
      </c>
      <c r="I19" s="6" t="s">
        <v>17</v>
      </c>
      <c r="J19" s="8" t="s">
        <v>86</v>
      </c>
      <c r="K19" s="6" t="s">
        <v>17</v>
      </c>
      <c r="L19" s="6" t="s">
        <v>17</v>
      </c>
      <c r="M19" s="8" t="s">
        <v>82</v>
      </c>
      <c r="N19" s="6" t="s">
        <v>17</v>
      </c>
      <c r="O19" s="6" t="s">
        <v>17</v>
      </c>
      <c r="P19" s="6" t="s">
        <v>17</v>
      </c>
    </row>
    <row r="20" spans="1:16" ht="30" customHeight="1">
      <c r="A20" s="9" t="s">
        <v>87</v>
      </c>
      <c r="B20" s="10" t="s">
        <v>17</v>
      </c>
      <c r="C20" s="11" t="s">
        <v>88</v>
      </c>
      <c r="D20" s="11" t="s">
        <v>89</v>
      </c>
      <c r="E20" s="11" t="s">
        <v>90</v>
      </c>
      <c r="F20" s="11" t="s">
        <v>91</v>
      </c>
      <c r="G20" s="9" t="s">
        <v>16</v>
      </c>
      <c r="H20" s="9" t="s">
        <v>23</v>
      </c>
      <c r="I20" s="11" t="s">
        <v>92</v>
      </c>
      <c r="J20" s="12" t="s">
        <v>93</v>
      </c>
      <c r="K20" s="10" t="s">
        <v>17</v>
      </c>
      <c r="L20" s="10" t="s">
        <v>17</v>
      </c>
      <c r="M20" s="10" t="s">
        <v>17</v>
      </c>
      <c r="N20" s="10" t="s">
        <v>17</v>
      </c>
      <c r="O20" s="10" t="s">
        <v>17</v>
      </c>
      <c r="P20" s="10" t="s">
        <v>17</v>
      </c>
    </row>
    <row r="21" spans="1:16" ht="30" customHeight="1">
      <c r="A21" s="5" t="s">
        <v>94</v>
      </c>
      <c r="B21" s="6" t="s">
        <v>17</v>
      </c>
      <c r="C21" s="7" t="s">
        <v>95</v>
      </c>
      <c r="D21" s="7" t="s">
        <v>96</v>
      </c>
      <c r="E21" s="7" t="s">
        <v>97</v>
      </c>
      <c r="F21" s="7" t="s">
        <v>98</v>
      </c>
      <c r="G21" s="5" t="s">
        <v>16</v>
      </c>
      <c r="H21" s="5" t="s">
        <v>23</v>
      </c>
      <c r="I21" s="7" t="s">
        <v>99</v>
      </c>
      <c r="J21" s="8" t="s">
        <v>100</v>
      </c>
      <c r="K21" s="6" t="s">
        <v>17</v>
      </c>
      <c r="L21" s="6" t="s">
        <v>17</v>
      </c>
      <c r="M21" s="6" t="s">
        <v>17</v>
      </c>
      <c r="N21" s="6" t="s">
        <v>17</v>
      </c>
      <c r="O21" s="6" t="s">
        <v>17</v>
      </c>
      <c r="P21" s="6" t="s">
        <v>17</v>
      </c>
    </row>
    <row r="22" spans="1:16" ht="30" customHeight="1">
      <c r="A22" s="9" t="s">
        <v>101</v>
      </c>
      <c r="B22" s="10" t="s">
        <v>17</v>
      </c>
      <c r="C22" s="11" t="s">
        <v>102</v>
      </c>
      <c r="D22" s="11" t="s">
        <v>103</v>
      </c>
      <c r="E22" s="11" t="s">
        <v>104</v>
      </c>
      <c r="F22" s="11" t="s">
        <v>105</v>
      </c>
      <c r="G22" s="9" t="s">
        <v>16</v>
      </c>
      <c r="H22" s="9" t="s">
        <v>23</v>
      </c>
      <c r="I22" s="11" t="s">
        <v>106</v>
      </c>
      <c r="J22" s="12" t="s">
        <v>107</v>
      </c>
      <c r="K22" s="10" t="s">
        <v>17</v>
      </c>
      <c r="L22" s="10" t="s">
        <v>17</v>
      </c>
      <c r="M22" s="10" t="s">
        <v>17</v>
      </c>
      <c r="N22" s="10" t="s">
        <v>17</v>
      </c>
      <c r="O22" s="10" t="s">
        <v>17</v>
      </c>
      <c r="P22" s="10" t="s">
        <v>17</v>
      </c>
    </row>
    <row r="23" spans="1:16" ht="30" customHeight="1">
      <c r="A23" s="5" t="s">
        <v>108</v>
      </c>
      <c r="B23" s="6" t="s">
        <v>17</v>
      </c>
      <c r="C23" s="7" t="s">
        <v>109</v>
      </c>
      <c r="D23" s="7" t="s">
        <v>110</v>
      </c>
      <c r="E23" s="7" t="s">
        <v>111</v>
      </c>
      <c r="F23" s="7" t="s">
        <v>112</v>
      </c>
      <c r="G23" s="5" t="s">
        <v>16</v>
      </c>
      <c r="H23" s="5" t="s">
        <v>23</v>
      </c>
      <c r="I23" s="7" t="s">
        <v>106</v>
      </c>
      <c r="J23" s="8" t="s">
        <v>113</v>
      </c>
      <c r="K23" s="6" t="s">
        <v>17</v>
      </c>
      <c r="L23" s="6" t="s">
        <v>17</v>
      </c>
      <c r="M23" s="6" t="s">
        <v>17</v>
      </c>
      <c r="N23" s="6" t="s">
        <v>17</v>
      </c>
      <c r="O23" s="6" t="s">
        <v>17</v>
      </c>
      <c r="P23" s="6" t="s">
        <v>17</v>
      </c>
    </row>
    <row r="24" spans="1:16" ht="30" customHeight="1">
      <c r="A24" s="9" t="s">
        <v>114</v>
      </c>
      <c r="B24" s="10" t="s">
        <v>17</v>
      </c>
      <c r="C24" s="11" t="s">
        <v>115</v>
      </c>
      <c r="D24" s="11" t="s">
        <v>116</v>
      </c>
      <c r="E24" s="11" t="s">
        <v>117</v>
      </c>
      <c r="F24" s="11" t="s">
        <v>118</v>
      </c>
      <c r="G24" s="9" t="s">
        <v>22</v>
      </c>
      <c r="H24" s="9" t="s">
        <v>23</v>
      </c>
      <c r="I24" s="11" t="s">
        <v>119</v>
      </c>
      <c r="J24" s="12" t="s">
        <v>120</v>
      </c>
      <c r="K24" s="12" t="s">
        <v>121</v>
      </c>
      <c r="L24" s="10" t="s">
        <v>17</v>
      </c>
      <c r="M24" s="10" t="s">
        <v>17</v>
      </c>
      <c r="N24" s="10" t="s">
        <v>17</v>
      </c>
      <c r="O24" s="10" t="s">
        <v>17</v>
      </c>
      <c r="P24" s="10" t="s">
        <v>17</v>
      </c>
    </row>
    <row r="25" spans="1:16" ht="30" customHeight="1">
      <c r="A25" s="5" t="s">
        <v>45</v>
      </c>
      <c r="B25" s="6" t="s">
        <v>17</v>
      </c>
      <c r="C25" s="7" t="s">
        <v>122</v>
      </c>
      <c r="D25" s="7" t="s">
        <v>123</v>
      </c>
      <c r="E25" s="7" t="s">
        <v>124</v>
      </c>
      <c r="F25" s="7" t="s">
        <v>125</v>
      </c>
      <c r="G25" s="5" t="s">
        <v>50</v>
      </c>
      <c r="H25" s="5" t="s">
        <v>23</v>
      </c>
      <c r="I25" s="7" t="s">
        <v>126</v>
      </c>
      <c r="J25" s="8" t="s">
        <v>127</v>
      </c>
      <c r="K25" s="8" t="s">
        <v>128</v>
      </c>
      <c r="L25" s="6" t="s">
        <v>17</v>
      </c>
      <c r="M25" s="6" t="s">
        <v>17</v>
      </c>
      <c r="N25" s="6" t="s">
        <v>17</v>
      </c>
      <c r="O25" s="6" t="s">
        <v>17</v>
      </c>
      <c r="P25" s="6" t="s">
        <v>17</v>
      </c>
    </row>
    <row r="26" spans="1:16">
      <c r="A26" s="9" t="s">
        <v>129</v>
      </c>
      <c r="B26" s="10" t="s">
        <v>17</v>
      </c>
      <c r="C26" s="11" t="s">
        <v>130</v>
      </c>
      <c r="D26" s="11" t="s">
        <v>131</v>
      </c>
      <c r="E26" s="11" t="s">
        <v>132</v>
      </c>
      <c r="F26" s="11" t="s">
        <v>133</v>
      </c>
      <c r="G26" s="9" t="s">
        <v>16</v>
      </c>
      <c r="H26" s="9" t="s">
        <v>23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0" t="s">
        <v>17</v>
      </c>
      <c r="O26" s="10" t="s">
        <v>17</v>
      </c>
      <c r="P26" s="10" t="s">
        <v>17</v>
      </c>
    </row>
    <row r="27" spans="1:16" ht="30" customHeight="1">
      <c r="A27" s="5" t="s">
        <v>134</v>
      </c>
      <c r="B27" s="6" t="s">
        <v>17</v>
      </c>
      <c r="C27" s="7" t="s">
        <v>135</v>
      </c>
      <c r="D27" s="7" t="s">
        <v>136</v>
      </c>
      <c r="E27" s="7" t="s">
        <v>135</v>
      </c>
      <c r="F27" s="7" t="s">
        <v>137</v>
      </c>
      <c r="G27" s="5" t="s">
        <v>16</v>
      </c>
      <c r="H27" s="5" t="s">
        <v>23</v>
      </c>
      <c r="I27" s="7" t="s">
        <v>138</v>
      </c>
      <c r="J27" s="8" t="s">
        <v>139</v>
      </c>
      <c r="K27" s="6" t="s">
        <v>17</v>
      </c>
      <c r="L27" s="6" t="s">
        <v>17</v>
      </c>
      <c r="M27" s="6" t="s">
        <v>17</v>
      </c>
      <c r="N27" s="6" t="s">
        <v>17</v>
      </c>
      <c r="O27" s="6" t="s">
        <v>17</v>
      </c>
      <c r="P27" s="6" t="s">
        <v>17</v>
      </c>
    </row>
    <row r="28" spans="1:16" ht="30" customHeight="1">
      <c r="A28" s="9" t="s">
        <v>140</v>
      </c>
      <c r="B28" s="10" t="s">
        <v>17</v>
      </c>
      <c r="C28" s="11" t="s">
        <v>141</v>
      </c>
      <c r="D28" s="11" t="s">
        <v>142</v>
      </c>
      <c r="E28" s="11" t="s">
        <v>141</v>
      </c>
      <c r="F28" s="11" t="s">
        <v>143</v>
      </c>
      <c r="G28" s="9" t="s">
        <v>16</v>
      </c>
      <c r="H28" s="9" t="s">
        <v>23</v>
      </c>
      <c r="I28" s="11" t="s">
        <v>144</v>
      </c>
      <c r="J28" s="10" t="s">
        <v>17</v>
      </c>
      <c r="K28" s="10" t="s">
        <v>17</v>
      </c>
      <c r="L28" s="10" t="s">
        <v>17</v>
      </c>
      <c r="M28" s="10" t="s">
        <v>17</v>
      </c>
      <c r="N28" s="10" t="s">
        <v>17</v>
      </c>
      <c r="O28" s="10" t="s">
        <v>17</v>
      </c>
      <c r="P28" s="10" t="s">
        <v>17</v>
      </c>
    </row>
    <row r="29" spans="1:16" ht="30" customHeight="1">
      <c r="A29" s="5" t="s">
        <v>145</v>
      </c>
      <c r="B29" s="6" t="s">
        <v>17</v>
      </c>
      <c r="C29" s="7" t="s">
        <v>146</v>
      </c>
      <c r="D29" s="7" t="s">
        <v>147</v>
      </c>
      <c r="E29" s="7" t="s">
        <v>146</v>
      </c>
      <c r="F29" s="7" t="s">
        <v>148</v>
      </c>
      <c r="G29" s="5" t="s">
        <v>16</v>
      </c>
      <c r="H29" s="5" t="s">
        <v>23</v>
      </c>
      <c r="I29" s="7" t="s">
        <v>149</v>
      </c>
      <c r="J29" s="6" t="s">
        <v>17</v>
      </c>
      <c r="K29" s="6" t="s">
        <v>17</v>
      </c>
      <c r="L29" s="6" t="s">
        <v>17</v>
      </c>
      <c r="M29" s="6" t="s">
        <v>17</v>
      </c>
      <c r="N29" s="6" t="s">
        <v>17</v>
      </c>
      <c r="O29" s="6" t="s">
        <v>17</v>
      </c>
      <c r="P29" s="6" t="s">
        <v>17</v>
      </c>
    </row>
    <row r="30" spans="1:16" ht="30" customHeight="1">
      <c r="A30" s="9" t="s">
        <v>58</v>
      </c>
      <c r="B30" s="10" t="s">
        <v>17</v>
      </c>
      <c r="C30" s="11" t="s">
        <v>150</v>
      </c>
      <c r="D30" s="11" t="s">
        <v>151</v>
      </c>
      <c r="E30" s="11" t="s">
        <v>152</v>
      </c>
      <c r="F30" s="11" t="s">
        <v>153</v>
      </c>
      <c r="G30" s="9" t="s">
        <v>33</v>
      </c>
      <c r="H30" s="9" t="s">
        <v>23</v>
      </c>
      <c r="I30" s="11" t="s">
        <v>154</v>
      </c>
      <c r="J30" s="12" t="s">
        <v>155</v>
      </c>
      <c r="K30" s="10" t="s">
        <v>17</v>
      </c>
      <c r="L30" s="10" t="s">
        <v>17</v>
      </c>
      <c r="M30" s="10" t="s">
        <v>17</v>
      </c>
      <c r="N30" s="10" t="s">
        <v>17</v>
      </c>
      <c r="O30" s="10" t="s">
        <v>17</v>
      </c>
      <c r="P30" s="10" t="s">
        <v>17</v>
      </c>
    </row>
    <row r="31" spans="1:16" ht="30" customHeight="1">
      <c r="A31" s="5" t="s">
        <v>156</v>
      </c>
      <c r="B31" s="6" t="s">
        <v>17</v>
      </c>
      <c r="C31" s="7" t="s">
        <v>157</v>
      </c>
      <c r="D31" s="7" t="s">
        <v>158</v>
      </c>
      <c r="E31" s="7" t="s">
        <v>159</v>
      </c>
      <c r="F31" s="7" t="s">
        <v>160</v>
      </c>
      <c r="G31" s="5" t="s">
        <v>16</v>
      </c>
      <c r="H31" s="5" t="s">
        <v>23</v>
      </c>
      <c r="I31" s="7" t="s">
        <v>161</v>
      </c>
      <c r="J31" s="8" t="s">
        <v>162</v>
      </c>
      <c r="K31" s="8" t="s">
        <v>163</v>
      </c>
      <c r="L31" s="6" t="s">
        <v>17</v>
      </c>
      <c r="M31" s="6" t="s">
        <v>17</v>
      </c>
      <c r="N31" s="6" t="s">
        <v>17</v>
      </c>
      <c r="O31" s="6" t="s">
        <v>17</v>
      </c>
      <c r="P31" s="6" t="s">
        <v>17</v>
      </c>
    </row>
    <row r="32" spans="1:16" ht="30" customHeight="1">
      <c r="A32" s="9" t="s">
        <v>164</v>
      </c>
      <c r="B32" s="10" t="s">
        <v>17</v>
      </c>
      <c r="C32" s="11" t="s">
        <v>165</v>
      </c>
      <c r="D32" s="11" t="s">
        <v>166</v>
      </c>
      <c r="E32" s="11" t="s">
        <v>165</v>
      </c>
      <c r="F32" s="11" t="s">
        <v>167</v>
      </c>
      <c r="G32" s="9" t="s">
        <v>16</v>
      </c>
      <c r="H32" s="9" t="s">
        <v>23</v>
      </c>
      <c r="I32" s="11" t="s">
        <v>168</v>
      </c>
      <c r="J32" s="12" t="s">
        <v>169</v>
      </c>
      <c r="K32" s="10" t="s">
        <v>17</v>
      </c>
      <c r="L32" s="10" t="s">
        <v>17</v>
      </c>
      <c r="M32" s="10" t="s">
        <v>17</v>
      </c>
      <c r="N32" s="10" t="s">
        <v>17</v>
      </c>
      <c r="O32" s="10" t="s">
        <v>17</v>
      </c>
      <c r="P32" s="10" t="s">
        <v>17</v>
      </c>
    </row>
    <row r="33" spans="1:16" ht="30" customHeight="1">
      <c r="A33" s="5" t="s">
        <v>170</v>
      </c>
      <c r="B33" s="6" t="s">
        <v>17</v>
      </c>
      <c r="C33" s="7" t="s">
        <v>171</v>
      </c>
      <c r="D33" s="7" t="s">
        <v>172</v>
      </c>
      <c r="E33" s="7" t="s">
        <v>173</v>
      </c>
      <c r="F33" s="7" t="s">
        <v>174</v>
      </c>
      <c r="G33" s="5" t="s">
        <v>22</v>
      </c>
      <c r="H33" s="5" t="s">
        <v>23</v>
      </c>
      <c r="I33" s="6" t="s">
        <v>17</v>
      </c>
      <c r="J33" s="8" t="s">
        <v>175</v>
      </c>
      <c r="K33" s="8" t="s">
        <v>176</v>
      </c>
      <c r="L33" s="6" t="s">
        <v>17</v>
      </c>
      <c r="M33" s="6" t="s">
        <v>17</v>
      </c>
      <c r="N33" s="6" t="s">
        <v>17</v>
      </c>
      <c r="O33" s="6" t="s">
        <v>17</v>
      </c>
      <c r="P33" s="6" t="s">
        <v>17</v>
      </c>
    </row>
    <row r="34" spans="1:16" ht="30" customHeight="1">
      <c r="A34" s="9" t="s">
        <v>177</v>
      </c>
      <c r="B34" s="10" t="s">
        <v>17</v>
      </c>
      <c r="C34" s="11" t="s">
        <v>171</v>
      </c>
      <c r="D34" s="11" t="s">
        <v>178</v>
      </c>
      <c r="E34" s="11" t="s">
        <v>179</v>
      </c>
      <c r="F34" s="11" t="s">
        <v>174</v>
      </c>
      <c r="G34" s="9" t="s">
        <v>22</v>
      </c>
      <c r="H34" s="9" t="s">
        <v>23</v>
      </c>
      <c r="I34" s="10" t="s">
        <v>17</v>
      </c>
      <c r="J34" s="12" t="s">
        <v>180</v>
      </c>
      <c r="K34" s="10" t="s">
        <v>17</v>
      </c>
      <c r="L34" s="10" t="s">
        <v>17</v>
      </c>
      <c r="M34" s="10" t="s">
        <v>17</v>
      </c>
      <c r="N34" s="10" t="s">
        <v>17</v>
      </c>
      <c r="O34" s="10" t="s">
        <v>17</v>
      </c>
      <c r="P34" s="10" t="s">
        <v>17</v>
      </c>
    </row>
    <row r="35" spans="1:16" ht="30" customHeight="1">
      <c r="A35" s="5" t="s">
        <v>181</v>
      </c>
      <c r="B35" s="6" t="s">
        <v>17</v>
      </c>
      <c r="C35" s="7" t="s">
        <v>171</v>
      </c>
      <c r="D35" s="7" t="s">
        <v>182</v>
      </c>
      <c r="E35" s="7" t="s">
        <v>183</v>
      </c>
      <c r="F35" s="7" t="s">
        <v>174</v>
      </c>
      <c r="G35" s="5" t="s">
        <v>16</v>
      </c>
      <c r="H35" s="5" t="s">
        <v>23</v>
      </c>
      <c r="I35" s="6" t="s">
        <v>17</v>
      </c>
      <c r="J35" s="8" t="s">
        <v>184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</row>
    <row r="36" spans="1:16" ht="30" customHeight="1">
      <c r="A36" s="9" t="s">
        <v>185</v>
      </c>
      <c r="B36" s="10" t="s">
        <v>17</v>
      </c>
      <c r="C36" s="11" t="s">
        <v>171</v>
      </c>
      <c r="D36" s="11" t="s">
        <v>186</v>
      </c>
      <c r="E36" s="11" t="s">
        <v>187</v>
      </c>
      <c r="F36" s="11" t="s">
        <v>174</v>
      </c>
      <c r="G36" s="9" t="s">
        <v>30</v>
      </c>
      <c r="H36" s="9" t="s">
        <v>23</v>
      </c>
      <c r="I36" s="10" t="s">
        <v>17</v>
      </c>
      <c r="J36" s="12" t="s">
        <v>188</v>
      </c>
      <c r="K36" s="10" t="s">
        <v>17</v>
      </c>
      <c r="L36" s="10" t="s">
        <v>17</v>
      </c>
      <c r="M36" s="10" t="s">
        <v>17</v>
      </c>
      <c r="N36" s="10" t="s">
        <v>17</v>
      </c>
      <c r="O36" s="10" t="s">
        <v>17</v>
      </c>
      <c r="P36" s="10" t="s">
        <v>17</v>
      </c>
    </row>
    <row r="37" spans="1:16" ht="30" customHeight="1">
      <c r="A37" s="5" t="s">
        <v>189</v>
      </c>
      <c r="B37" s="6" t="s">
        <v>17</v>
      </c>
      <c r="C37" s="7" t="s">
        <v>171</v>
      </c>
      <c r="D37" s="7" t="s">
        <v>190</v>
      </c>
      <c r="E37" s="7" t="s">
        <v>191</v>
      </c>
      <c r="F37" s="7" t="s">
        <v>174</v>
      </c>
      <c r="G37" s="5" t="s">
        <v>42</v>
      </c>
      <c r="H37" s="5" t="s">
        <v>23</v>
      </c>
      <c r="I37" s="6" t="s">
        <v>17</v>
      </c>
      <c r="J37" s="8" t="s">
        <v>192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</row>
    <row r="38" spans="1:16" ht="30" customHeight="1">
      <c r="A38" s="9" t="s">
        <v>193</v>
      </c>
      <c r="B38" s="10" t="s">
        <v>17</v>
      </c>
      <c r="C38" s="11" t="s">
        <v>171</v>
      </c>
      <c r="D38" s="11" t="s">
        <v>194</v>
      </c>
      <c r="E38" s="11" t="s">
        <v>195</v>
      </c>
      <c r="F38" s="11" t="s">
        <v>174</v>
      </c>
      <c r="G38" s="9" t="s">
        <v>42</v>
      </c>
      <c r="H38" s="9" t="s">
        <v>23</v>
      </c>
      <c r="I38" s="10" t="s">
        <v>17</v>
      </c>
      <c r="J38" s="12" t="s">
        <v>196</v>
      </c>
      <c r="K38" s="12" t="s">
        <v>197</v>
      </c>
      <c r="L38" s="10" t="s">
        <v>17</v>
      </c>
      <c r="M38" s="10" t="s">
        <v>17</v>
      </c>
      <c r="N38" s="10" t="s">
        <v>17</v>
      </c>
      <c r="O38" s="10" t="s">
        <v>17</v>
      </c>
      <c r="P38" s="10" t="s">
        <v>17</v>
      </c>
    </row>
    <row r="39" spans="1:16" ht="30" customHeight="1">
      <c r="A39" s="5" t="s">
        <v>198</v>
      </c>
      <c r="B39" s="6" t="s">
        <v>17</v>
      </c>
      <c r="C39" s="7" t="s">
        <v>171</v>
      </c>
      <c r="D39" s="7" t="s">
        <v>199</v>
      </c>
      <c r="E39" s="7" t="s">
        <v>200</v>
      </c>
      <c r="F39" s="7" t="s">
        <v>174</v>
      </c>
      <c r="G39" s="5" t="s">
        <v>22</v>
      </c>
      <c r="H39" s="5" t="s">
        <v>23</v>
      </c>
      <c r="I39" s="6" t="s">
        <v>17</v>
      </c>
      <c r="J39" s="8" t="s">
        <v>201</v>
      </c>
      <c r="K39" s="6" t="s">
        <v>17</v>
      </c>
      <c r="L39" s="6" t="s">
        <v>17</v>
      </c>
      <c r="M39" s="6" t="s">
        <v>17</v>
      </c>
      <c r="N39" s="6" t="s">
        <v>17</v>
      </c>
      <c r="O39" s="6" t="s">
        <v>17</v>
      </c>
      <c r="P39" s="6" t="s">
        <v>17</v>
      </c>
    </row>
    <row r="40" spans="1:16" ht="30" customHeight="1">
      <c r="A40" s="9" t="s">
        <v>202</v>
      </c>
      <c r="B40" s="10" t="s">
        <v>17</v>
      </c>
      <c r="C40" s="11" t="s">
        <v>171</v>
      </c>
      <c r="D40" s="11" t="s">
        <v>203</v>
      </c>
      <c r="E40" s="11" t="s">
        <v>204</v>
      </c>
      <c r="F40" s="11" t="s">
        <v>174</v>
      </c>
      <c r="G40" s="9" t="s">
        <v>22</v>
      </c>
      <c r="H40" s="9" t="s">
        <v>23</v>
      </c>
      <c r="I40" s="10" t="s">
        <v>17</v>
      </c>
      <c r="J40" s="12" t="s">
        <v>192</v>
      </c>
      <c r="K40" s="12" t="s">
        <v>205</v>
      </c>
      <c r="L40" s="10" t="s">
        <v>17</v>
      </c>
      <c r="M40" s="10" t="s">
        <v>17</v>
      </c>
      <c r="N40" s="10" t="s">
        <v>17</v>
      </c>
      <c r="O40" s="10" t="s">
        <v>17</v>
      </c>
      <c r="P40" s="10" t="s">
        <v>17</v>
      </c>
    </row>
    <row r="41" spans="1:16" ht="30" customHeight="1">
      <c r="A41" s="5" t="s">
        <v>206</v>
      </c>
      <c r="B41" s="6" t="s">
        <v>17</v>
      </c>
      <c r="C41" s="7" t="s">
        <v>171</v>
      </c>
      <c r="D41" s="7" t="s">
        <v>207</v>
      </c>
      <c r="E41" s="7" t="s">
        <v>208</v>
      </c>
      <c r="F41" s="7" t="s">
        <v>174</v>
      </c>
      <c r="G41" s="5" t="s">
        <v>16</v>
      </c>
      <c r="H41" s="5" t="s">
        <v>23</v>
      </c>
      <c r="I41" s="6" t="s">
        <v>17</v>
      </c>
      <c r="J41" s="8" t="s">
        <v>209</v>
      </c>
      <c r="K41" s="8" t="s">
        <v>210</v>
      </c>
      <c r="L41" s="6" t="s">
        <v>17</v>
      </c>
      <c r="M41" s="6" t="s">
        <v>17</v>
      </c>
      <c r="N41" s="6" t="s">
        <v>17</v>
      </c>
      <c r="O41" s="6" t="s">
        <v>17</v>
      </c>
      <c r="P41" s="6" t="s">
        <v>17</v>
      </c>
    </row>
    <row r="42" spans="1:16" ht="30" customHeight="1">
      <c r="A42" s="9" t="s">
        <v>211</v>
      </c>
      <c r="B42" s="10" t="s">
        <v>17</v>
      </c>
      <c r="C42" s="11" t="s">
        <v>171</v>
      </c>
      <c r="D42" s="11" t="s">
        <v>212</v>
      </c>
      <c r="E42" s="11" t="s">
        <v>213</v>
      </c>
      <c r="F42" s="11" t="s">
        <v>174</v>
      </c>
      <c r="G42" s="9" t="s">
        <v>42</v>
      </c>
      <c r="H42" s="9" t="s">
        <v>23</v>
      </c>
      <c r="I42" s="10" t="s">
        <v>17</v>
      </c>
      <c r="J42" s="12" t="s">
        <v>192</v>
      </c>
      <c r="K42" s="10" t="s">
        <v>17</v>
      </c>
      <c r="L42" s="10" t="s">
        <v>17</v>
      </c>
      <c r="M42" s="10" t="s">
        <v>17</v>
      </c>
      <c r="N42" s="10" t="s">
        <v>17</v>
      </c>
      <c r="O42" s="10" t="s">
        <v>17</v>
      </c>
      <c r="P42" s="10" t="s">
        <v>17</v>
      </c>
    </row>
    <row r="43" spans="1:16" ht="30" customHeight="1">
      <c r="A43" s="5" t="s">
        <v>214</v>
      </c>
      <c r="B43" s="6" t="s">
        <v>17</v>
      </c>
      <c r="C43" s="7" t="s">
        <v>215</v>
      </c>
      <c r="D43" s="7" t="s">
        <v>216</v>
      </c>
      <c r="E43" s="7" t="s">
        <v>217</v>
      </c>
      <c r="F43" s="7" t="s">
        <v>218</v>
      </c>
      <c r="G43" s="5" t="s">
        <v>22</v>
      </c>
      <c r="H43" s="5" t="s">
        <v>23</v>
      </c>
      <c r="I43" s="7" t="s">
        <v>219</v>
      </c>
      <c r="J43" s="8" t="s">
        <v>220</v>
      </c>
      <c r="K43" s="8" t="s">
        <v>221</v>
      </c>
      <c r="L43" s="6" t="s">
        <v>17</v>
      </c>
      <c r="M43" s="6" t="s">
        <v>17</v>
      </c>
      <c r="N43" s="6" t="s">
        <v>17</v>
      </c>
      <c r="O43" s="6" t="s">
        <v>17</v>
      </c>
      <c r="P43" s="6" t="s">
        <v>17</v>
      </c>
    </row>
    <row r="44" spans="1:16" ht="30" customHeight="1">
      <c r="A44" s="9" t="s">
        <v>222</v>
      </c>
      <c r="B44" s="10" t="s">
        <v>17</v>
      </c>
      <c r="C44" s="11" t="s">
        <v>223</v>
      </c>
      <c r="D44" s="11" t="s">
        <v>224</v>
      </c>
      <c r="E44" s="11" t="s">
        <v>225</v>
      </c>
      <c r="F44" s="11" t="s">
        <v>226</v>
      </c>
      <c r="G44" s="9" t="s">
        <v>50</v>
      </c>
      <c r="H44" s="9" t="s">
        <v>23</v>
      </c>
      <c r="I44" s="11" t="s">
        <v>227</v>
      </c>
      <c r="J44" s="12" t="s">
        <v>228</v>
      </c>
      <c r="K44" s="12" t="s">
        <v>229</v>
      </c>
      <c r="L44" s="10" t="s">
        <v>17</v>
      </c>
      <c r="M44" s="10" t="s">
        <v>17</v>
      </c>
      <c r="N44" s="10" t="s">
        <v>17</v>
      </c>
      <c r="O44" s="10" t="s">
        <v>17</v>
      </c>
      <c r="P44" s="10" t="s">
        <v>17</v>
      </c>
    </row>
    <row r="45" spans="1:16" ht="30" customHeight="1">
      <c r="A45" s="5" t="s">
        <v>230</v>
      </c>
      <c r="B45" s="6" t="s">
        <v>17</v>
      </c>
      <c r="C45" s="7" t="s">
        <v>231</v>
      </c>
      <c r="D45" s="7" t="s">
        <v>232</v>
      </c>
      <c r="E45" s="7" t="s">
        <v>231</v>
      </c>
      <c r="F45" s="7" t="s">
        <v>233</v>
      </c>
      <c r="G45" s="5" t="s">
        <v>22</v>
      </c>
      <c r="H45" s="5" t="s">
        <v>23</v>
      </c>
      <c r="I45" s="7" t="s">
        <v>234</v>
      </c>
      <c r="J45" s="8" t="s">
        <v>235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</row>
    <row r="46" spans="1:16" ht="30" customHeight="1">
      <c r="A46" s="9" t="s">
        <v>236</v>
      </c>
      <c r="B46" s="10" t="s">
        <v>17</v>
      </c>
      <c r="C46" s="11" t="s">
        <v>237</v>
      </c>
      <c r="D46" s="11" t="s">
        <v>238</v>
      </c>
      <c r="E46" s="11" t="s">
        <v>237</v>
      </c>
      <c r="F46" s="11" t="s">
        <v>239</v>
      </c>
      <c r="G46" s="9" t="s">
        <v>16</v>
      </c>
      <c r="H46" s="9" t="s">
        <v>23</v>
      </c>
      <c r="I46" s="11" t="s">
        <v>240</v>
      </c>
      <c r="J46" s="12" t="s">
        <v>241</v>
      </c>
      <c r="K46" s="10" t="s">
        <v>17</v>
      </c>
      <c r="L46" s="10" t="s">
        <v>17</v>
      </c>
      <c r="M46" s="10" t="s">
        <v>17</v>
      </c>
      <c r="N46" s="10" t="s">
        <v>17</v>
      </c>
      <c r="O46" s="12" t="s">
        <v>11</v>
      </c>
      <c r="P46" s="12" t="s">
        <v>242</v>
      </c>
    </row>
    <row r="47" spans="1:16" ht="45" customHeight="1">
      <c r="A47" s="5" t="s">
        <v>243</v>
      </c>
      <c r="B47" s="6" t="s">
        <v>17</v>
      </c>
      <c r="C47" s="7" t="s">
        <v>244</v>
      </c>
      <c r="D47" s="7" t="s">
        <v>245</v>
      </c>
      <c r="E47" s="7" t="s">
        <v>246</v>
      </c>
      <c r="F47" s="7" t="s">
        <v>247</v>
      </c>
      <c r="G47" s="5" t="s">
        <v>16</v>
      </c>
      <c r="H47" s="5" t="s">
        <v>23</v>
      </c>
      <c r="I47" s="7" t="s">
        <v>248</v>
      </c>
      <c r="J47" s="8" t="s">
        <v>249</v>
      </c>
      <c r="K47" s="6" t="s">
        <v>17</v>
      </c>
      <c r="L47" s="6" t="s">
        <v>17</v>
      </c>
      <c r="M47" s="6" t="s">
        <v>17</v>
      </c>
      <c r="N47" s="6" t="s">
        <v>17</v>
      </c>
      <c r="O47" s="6" t="s">
        <v>17</v>
      </c>
      <c r="P47" s="6" t="s">
        <v>17</v>
      </c>
    </row>
    <row r="48" spans="1:16" ht="30" customHeight="1">
      <c r="A48" s="9" t="s">
        <v>250</v>
      </c>
      <c r="B48" s="10" t="s">
        <v>17</v>
      </c>
      <c r="C48" s="11" t="s">
        <v>251</v>
      </c>
      <c r="D48" s="11" t="s">
        <v>252</v>
      </c>
      <c r="E48" s="11" t="s">
        <v>251</v>
      </c>
      <c r="F48" s="11" t="s">
        <v>253</v>
      </c>
      <c r="G48" s="9" t="s">
        <v>16</v>
      </c>
      <c r="H48" s="9" t="s">
        <v>23</v>
      </c>
      <c r="I48" s="11" t="s">
        <v>254</v>
      </c>
      <c r="J48" s="12" t="s">
        <v>255</v>
      </c>
      <c r="K48" s="10" t="s">
        <v>17</v>
      </c>
      <c r="L48" s="10" t="s">
        <v>17</v>
      </c>
      <c r="M48" s="10" t="s">
        <v>17</v>
      </c>
      <c r="N48" s="10" t="s">
        <v>17</v>
      </c>
      <c r="O48" s="10" t="s">
        <v>17</v>
      </c>
      <c r="P48" s="10" t="s">
        <v>17</v>
      </c>
    </row>
    <row r="49" spans="1:16" ht="30" customHeight="1">
      <c r="A49" s="5" t="s">
        <v>256</v>
      </c>
      <c r="B49" s="6" t="s">
        <v>17</v>
      </c>
      <c r="C49" s="7" t="s">
        <v>257</v>
      </c>
      <c r="D49" s="7" t="s">
        <v>258</v>
      </c>
      <c r="E49" s="7" t="s">
        <v>257</v>
      </c>
      <c r="F49" s="7" t="s">
        <v>259</v>
      </c>
      <c r="G49" s="5" t="s">
        <v>16</v>
      </c>
      <c r="H49" s="5" t="s">
        <v>23</v>
      </c>
      <c r="I49" s="7" t="s">
        <v>260</v>
      </c>
      <c r="J49" s="8" t="s">
        <v>261</v>
      </c>
      <c r="K49" s="6" t="s">
        <v>17</v>
      </c>
      <c r="L49" s="6" t="s">
        <v>17</v>
      </c>
      <c r="M49" s="6" t="s">
        <v>17</v>
      </c>
      <c r="N49" s="6" t="s">
        <v>17</v>
      </c>
      <c r="O49" s="6" t="s">
        <v>17</v>
      </c>
      <c r="P49" s="6" t="s">
        <v>17</v>
      </c>
    </row>
    <row r="50" spans="1:16" ht="30" customHeight="1">
      <c r="A50" s="9" t="s">
        <v>262</v>
      </c>
      <c r="B50" s="10" t="s">
        <v>17</v>
      </c>
      <c r="C50" s="11" t="s">
        <v>263</v>
      </c>
      <c r="D50" s="11" t="s">
        <v>264</v>
      </c>
      <c r="E50" s="11" t="s">
        <v>263</v>
      </c>
      <c r="F50" s="11" t="s">
        <v>265</v>
      </c>
      <c r="G50" s="9" t="s">
        <v>16</v>
      </c>
      <c r="H50" s="9" t="s">
        <v>23</v>
      </c>
      <c r="I50" s="11" t="s">
        <v>266</v>
      </c>
      <c r="J50" s="12" t="s">
        <v>267</v>
      </c>
      <c r="K50" s="10" t="s">
        <v>17</v>
      </c>
      <c r="L50" s="10" t="s">
        <v>17</v>
      </c>
      <c r="M50" s="10" t="s">
        <v>17</v>
      </c>
      <c r="N50" s="10" t="s">
        <v>17</v>
      </c>
      <c r="O50" s="10" t="s">
        <v>17</v>
      </c>
      <c r="P50" s="10" t="s">
        <v>17</v>
      </c>
    </row>
    <row r="51" spans="1:16" ht="30" customHeight="1">
      <c r="A51" s="5" t="s">
        <v>268</v>
      </c>
      <c r="B51" s="6" t="s">
        <v>17</v>
      </c>
      <c r="C51" s="7" t="s">
        <v>269</v>
      </c>
      <c r="D51" s="7" t="s">
        <v>270</v>
      </c>
      <c r="E51" s="7" t="s">
        <v>269</v>
      </c>
      <c r="F51" s="7" t="s">
        <v>271</v>
      </c>
      <c r="G51" s="5" t="s">
        <v>16</v>
      </c>
      <c r="H51" s="5" t="s">
        <v>23</v>
      </c>
      <c r="I51" s="7" t="s">
        <v>272</v>
      </c>
      <c r="J51" s="8" t="s">
        <v>273</v>
      </c>
      <c r="K51" s="6" t="s">
        <v>17</v>
      </c>
      <c r="L51" s="6" t="s">
        <v>17</v>
      </c>
      <c r="M51" s="6" t="s">
        <v>17</v>
      </c>
      <c r="N51" s="6" t="s">
        <v>17</v>
      </c>
      <c r="O51" s="6" t="s">
        <v>17</v>
      </c>
      <c r="P51" s="6" t="s">
        <v>17</v>
      </c>
    </row>
    <row r="52" spans="1:16" ht="30" customHeight="1">
      <c r="A52" s="9" t="s">
        <v>274</v>
      </c>
      <c r="B52" s="10" t="s">
        <v>17</v>
      </c>
      <c r="C52" s="11" t="s">
        <v>275</v>
      </c>
      <c r="D52" s="11" t="s">
        <v>276</v>
      </c>
      <c r="E52" s="11" t="s">
        <v>275</v>
      </c>
      <c r="F52" s="11" t="s">
        <v>277</v>
      </c>
      <c r="G52" s="9" t="s">
        <v>16</v>
      </c>
      <c r="H52" s="9" t="s">
        <v>23</v>
      </c>
      <c r="I52" s="11" t="s">
        <v>278</v>
      </c>
      <c r="J52" s="12" t="s">
        <v>279</v>
      </c>
      <c r="K52" s="10" t="s">
        <v>17</v>
      </c>
      <c r="L52" s="10" t="s">
        <v>17</v>
      </c>
      <c r="M52" s="10" t="s">
        <v>17</v>
      </c>
      <c r="N52" s="10" t="s">
        <v>17</v>
      </c>
      <c r="O52" s="10" t="s">
        <v>17</v>
      </c>
      <c r="P52" s="10" t="s">
        <v>17</v>
      </c>
    </row>
    <row r="53" spans="1:16" ht="30" customHeight="1">
      <c r="A53" s="5" t="s">
        <v>280</v>
      </c>
      <c r="B53" s="6" t="s">
        <v>17</v>
      </c>
      <c r="C53" s="7" t="s">
        <v>281</v>
      </c>
      <c r="D53" s="7" t="s">
        <v>282</v>
      </c>
      <c r="E53" s="7" t="s">
        <v>281</v>
      </c>
      <c r="F53" s="7" t="s">
        <v>283</v>
      </c>
      <c r="G53" s="5" t="s">
        <v>16</v>
      </c>
      <c r="H53" s="5" t="s">
        <v>23</v>
      </c>
      <c r="I53" s="7" t="s">
        <v>284</v>
      </c>
      <c r="J53" s="8" t="s">
        <v>285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</row>
    <row r="54" spans="1:16" ht="30" customHeight="1">
      <c r="A54" s="9" t="s">
        <v>286</v>
      </c>
      <c r="B54" s="10" t="s">
        <v>17</v>
      </c>
      <c r="C54" s="11" t="s">
        <v>287</v>
      </c>
      <c r="D54" s="11" t="s">
        <v>288</v>
      </c>
      <c r="E54" s="11" t="s">
        <v>287</v>
      </c>
      <c r="F54" s="11" t="s">
        <v>289</v>
      </c>
      <c r="G54" s="9" t="s">
        <v>16</v>
      </c>
      <c r="H54" s="9" t="s">
        <v>23</v>
      </c>
      <c r="I54" s="11" t="s">
        <v>290</v>
      </c>
      <c r="J54" s="12" t="s">
        <v>291</v>
      </c>
      <c r="K54" s="10" t="s">
        <v>17</v>
      </c>
      <c r="L54" s="10" t="s">
        <v>17</v>
      </c>
      <c r="M54" s="10" t="s">
        <v>17</v>
      </c>
      <c r="N54" s="10" t="s">
        <v>17</v>
      </c>
      <c r="O54" s="10" t="s">
        <v>17</v>
      </c>
      <c r="P54" s="10" t="s">
        <v>17</v>
      </c>
    </row>
    <row r="55" spans="1:16" ht="30" customHeight="1">
      <c r="A55" s="5" t="s">
        <v>292</v>
      </c>
      <c r="B55" s="6" t="s">
        <v>17</v>
      </c>
      <c r="C55" s="7" t="s">
        <v>293</v>
      </c>
      <c r="D55" s="7" t="s">
        <v>294</v>
      </c>
      <c r="E55" s="7" t="s">
        <v>295</v>
      </c>
      <c r="F55" s="7" t="s">
        <v>296</v>
      </c>
      <c r="G55" s="5" t="s">
        <v>16</v>
      </c>
      <c r="H55" s="5" t="s">
        <v>23</v>
      </c>
      <c r="I55" s="7" t="s">
        <v>297</v>
      </c>
      <c r="J55" s="8" t="s">
        <v>298</v>
      </c>
      <c r="K55" s="6" t="s">
        <v>17</v>
      </c>
      <c r="L55" s="6" t="s">
        <v>17</v>
      </c>
      <c r="M55" s="6" t="s">
        <v>17</v>
      </c>
      <c r="N55" s="6" t="s">
        <v>17</v>
      </c>
      <c r="O55" s="6" t="s">
        <v>17</v>
      </c>
      <c r="P55" s="6" t="s">
        <v>17</v>
      </c>
    </row>
    <row r="56" spans="1:16" ht="30" customHeight="1">
      <c r="A56" s="9" t="s">
        <v>299</v>
      </c>
      <c r="B56" s="10" t="s">
        <v>17</v>
      </c>
      <c r="C56" s="11" t="s">
        <v>300</v>
      </c>
      <c r="D56" s="11" t="s">
        <v>301</v>
      </c>
      <c r="E56" s="11" t="s">
        <v>300</v>
      </c>
      <c r="F56" s="11" t="s">
        <v>302</v>
      </c>
      <c r="G56" s="9" t="s">
        <v>16</v>
      </c>
      <c r="H56" s="9" t="s">
        <v>23</v>
      </c>
      <c r="I56" s="11" t="s">
        <v>303</v>
      </c>
      <c r="J56" s="12" t="s">
        <v>304</v>
      </c>
      <c r="K56" s="10" t="s">
        <v>17</v>
      </c>
      <c r="L56" s="10" t="s">
        <v>17</v>
      </c>
      <c r="M56" s="10" t="s">
        <v>17</v>
      </c>
      <c r="N56" s="10" t="s">
        <v>17</v>
      </c>
      <c r="O56" s="10" t="s">
        <v>17</v>
      </c>
      <c r="P56" s="10" t="s">
        <v>17</v>
      </c>
    </row>
    <row r="57" spans="1:16" ht="30" customHeight="1">
      <c r="A57" s="5" t="s">
        <v>305</v>
      </c>
      <c r="B57" s="6" t="s">
        <v>17</v>
      </c>
      <c r="C57" s="7" t="s">
        <v>306</v>
      </c>
      <c r="D57" s="7" t="s">
        <v>307</v>
      </c>
      <c r="E57" s="7" t="s">
        <v>306</v>
      </c>
      <c r="F57" s="7" t="s">
        <v>308</v>
      </c>
      <c r="G57" s="5" t="s">
        <v>16</v>
      </c>
      <c r="H57" s="5" t="s">
        <v>23</v>
      </c>
      <c r="I57" s="7" t="s">
        <v>309</v>
      </c>
      <c r="J57" s="8" t="s">
        <v>310</v>
      </c>
      <c r="K57" s="6" t="s">
        <v>17</v>
      </c>
      <c r="L57" s="6" t="s">
        <v>17</v>
      </c>
      <c r="M57" s="6" t="s">
        <v>17</v>
      </c>
      <c r="N57" s="6" t="s">
        <v>17</v>
      </c>
      <c r="O57" s="6" t="s">
        <v>17</v>
      </c>
      <c r="P57" s="6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3.7109375" customWidth="1"/>
    <col min="4" max="4" width="27.7109375" customWidth="1"/>
    <col min="5" max="5" width="28.7109375" customWidth="1"/>
    <col min="6" max="6" width="42.7109375" customWidth="1"/>
    <col min="7" max="7" width="26.7109375" customWidth="1"/>
    <col min="8" max="8" width="16.7109375" customWidth="1"/>
    <col min="9" max="10" width="60.7109375" customWidth="1"/>
    <col min="11" max="11" width="21.7109375" customWidth="1"/>
    <col min="12" max="12" width="17.7109375" customWidth="1"/>
    <col min="13" max="13" width="18.7109375" customWidth="1"/>
    <col min="14" max="16" width="16.7109375" customWidth="1"/>
  </cols>
  <sheetData>
    <row r="1" spans="1:16" ht="32" customHeight="1">
      <c r="C1" s="1" t="s">
        <v>311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312</v>
      </c>
      <c r="D2" s="3" t="s">
        <v>313</v>
      </c>
      <c r="E2" s="2" t="s">
        <v>322</v>
      </c>
      <c r="F2" s="3">
        <v>55</v>
      </c>
    </row>
    <row r="3" spans="1:16">
      <c r="C3" s="2" t="s">
        <v>314</v>
      </c>
      <c r="D3" s="3" t="s">
        <v>315</v>
      </c>
      <c r="E3" s="2" t="s">
        <v>323</v>
      </c>
      <c r="F3" s="3" t="s">
        <v>324</v>
      </c>
    </row>
    <row r="4" spans="1:16">
      <c r="C4" s="2" t="s">
        <v>316</v>
      </c>
      <c r="D4" s="3" t="s">
        <v>317</v>
      </c>
      <c r="E4" s="2" t="s">
        <v>325</v>
      </c>
      <c r="F4" s="3" t="s">
        <v>326</v>
      </c>
    </row>
    <row r="5" spans="1:16">
      <c r="C5" s="2" t="s">
        <v>318</v>
      </c>
      <c r="D5" s="3" t="s">
        <v>319</v>
      </c>
      <c r="E5" s="2" t="s">
        <v>327</v>
      </c>
      <c r="F5" s="3">
        <v>1</v>
      </c>
    </row>
    <row r="6" spans="1:16">
      <c r="C6" s="2" t="s">
        <v>320</v>
      </c>
      <c r="D6" s="3" t="s">
        <v>321</v>
      </c>
      <c r="E6" s="2" t="s">
        <v>328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329</v>
      </c>
      <c r="D9" s="7" t="s">
        <v>330</v>
      </c>
      <c r="E9" s="7" t="s">
        <v>331</v>
      </c>
      <c r="F9" s="7" t="s">
        <v>332</v>
      </c>
      <c r="G9" s="5" t="s">
        <v>16</v>
      </c>
      <c r="H9" s="5" t="s">
        <v>333</v>
      </c>
      <c r="I9" s="7" t="s">
        <v>334</v>
      </c>
      <c r="J9" s="8" t="s">
        <v>335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0" t="s">
        <v>17</v>
      </c>
      <c r="C10" s="11" t="s">
        <v>336</v>
      </c>
      <c r="D10" s="11" t="s">
        <v>337</v>
      </c>
      <c r="E10" s="11" t="s">
        <v>338</v>
      </c>
      <c r="F10" s="11" t="s">
        <v>339</v>
      </c>
      <c r="G10" s="9" t="s">
        <v>22</v>
      </c>
      <c r="H10" s="9" t="s">
        <v>333</v>
      </c>
      <c r="I10" s="11" t="s">
        <v>340</v>
      </c>
      <c r="J10" s="12" t="s">
        <v>341</v>
      </c>
      <c r="K10" s="12" t="s">
        <v>342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>
      <c r="A11" s="5" t="s">
        <v>30</v>
      </c>
      <c r="B11" s="6" t="s">
        <v>17</v>
      </c>
      <c r="C11" s="7" t="s">
        <v>102</v>
      </c>
      <c r="D11" s="7" t="s">
        <v>343</v>
      </c>
      <c r="E11" s="7" t="s">
        <v>344</v>
      </c>
      <c r="F11" s="7" t="s">
        <v>345</v>
      </c>
      <c r="G11" s="5" t="s">
        <v>22</v>
      </c>
      <c r="H11" s="5" t="s">
        <v>333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102</v>
      </c>
      <c r="D12" s="11" t="s">
        <v>346</v>
      </c>
      <c r="E12" s="11" t="s">
        <v>104</v>
      </c>
      <c r="F12" s="11" t="s">
        <v>347</v>
      </c>
      <c r="G12" s="9" t="s">
        <v>22</v>
      </c>
      <c r="H12" s="9" t="s">
        <v>333</v>
      </c>
      <c r="I12" s="11" t="s">
        <v>106</v>
      </c>
      <c r="J12" s="12" t="s">
        <v>348</v>
      </c>
      <c r="K12" s="10" t="s">
        <v>17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>
      <c r="A13" s="5" t="s">
        <v>42</v>
      </c>
      <c r="B13" s="6" t="s">
        <v>17</v>
      </c>
      <c r="C13" s="7" t="s">
        <v>171</v>
      </c>
      <c r="D13" s="7" t="s">
        <v>349</v>
      </c>
      <c r="E13" s="7" t="s">
        <v>350</v>
      </c>
      <c r="F13" s="7" t="s">
        <v>174</v>
      </c>
      <c r="G13" s="5" t="s">
        <v>16</v>
      </c>
      <c r="H13" s="5" t="s">
        <v>333</v>
      </c>
      <c r="I13" s="6" t="s">
        <v>17</v>
      </c>
      <c r="J13" s="6" t="s">
        <v>17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223</v>
      </c>
      <c r="D14" s="11" t="s">
        <v>351</v>
      </c>
      <c r="E14" s="11" t="s">
        <v>352</v>
      </c>
      <c r="F14" s="11" t="s">
        <v>353</v>
      </c>
      <c r="G14" s="9" t="s">
        <v>22</v>
      </c>
      <c r="H14" s="9" t="s">
        <v>333</v>
      </c>
      <c r="I14" s="11" t="s">
        <v>354</v>
      </c>
      <c r="J14" s="12" t="s">
        <v>355</v>
      </c>
      <c r="K14" s="12" t="s">
        <v>356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60.7109375" customWidth="1"/>
    <col min="2" max="2" width="21.7109375" customWidth="1"/>
    <col min="3" max="3" width="60.7109375" customWidth="1" outlineLevel="2"/>
    <col min="4" max="4" width="61.7109375" customWidth="1" outlineLevel="2"/>
    <col min="5" max="5" width="61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311</v>
      </c>
      <c r="E1" s="1"/>
      <c r="F1" s="1"/>
      <c r="G1" s="1"/>
      <c r="H1" s="1"/>
    </row>
    <row r="2" spans="1:8">
      <c r="D2" s="2" t="s">
        <v>312</v>
      </c>
      <c r="E2" s="3" t="s">
        <v>313</v>
      </c>
      <c r="G2" s="13" t="s">
        <v>372</v>
      </c>
      <c r="H2" s="13">
        <v>1</v>
      </c>
    </row>
    <row r="3" spans="1:8">
      <c r="D3" s="2" t="s">
        <v>314</v>
      </c>
      <c r="E3" s="3" t="s">
        <v>315</v>
      </c>
      <c r="G3" s="14" t="s">
        <v>374</v>
      </c>
      <c r="H3" s="15">
        <f>TotalCost/BoardQty</f>
        <v>0.0</v>
      </c>
    </row>
    <row r="4" spans="1:8">
      <c r="D4" s="2" t="s">
        <v>316</v>
      </c>
      <c r="E4" s="3" t="s">
        <v>317</v>
      </c>
      <c r="G4" s="14" t="s">
        <v>373</v>
      </c>
      <c r="H4" s="16">
        <f>SUM(H10:H58)</f>
        <v>0</v>
      </c>
    </row>
    <row r="5" spans="1:8">
      <c r="D5" s="2" t="s">
        <v>318</v>
      </c>
      <c r="E5" s="3" t="s">
        <v>319</v>
      </c>
    </row>
    <row r="6" spans="1:8">
      <c r="D6" s="2" t="s">
        <v>320</v>
      </c>
      <c r="E6" s="3" t="s">
        <v>321</v>
      </c>
    </row>
    <row r="8" spans="1:8">
      <c r="A8" s="17" t="s">
        <v>357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358</v>
      </c>
      <c r="F9" s="18" t="s">
        <v>359</v>
      </c>
      <c r="G9" s="18" t="s">
        <v>360</v>
      </c>
      <c r="H9" s="18" t="s">
        <v>361</v>
      </c>
    </row>
    <row r="10" spans="1:8">
      <c r="A10" s="19" t="s">
        <v>19</v>
      </c>
      <c r="B10" s="19" t="s">
        <v>20</v>
      </c>
      <c r="D10" s="19" t="s">
        <v>21</v>
      </c>
      <c r="E10" s="19" t="s">
        <v>24</v>
      </c>
      <c r="F10" s="19">
        <f>CEILING(BoardQty*2,1)</f>
        <v>2</v>
      </c>
      <c r="H10" s="20">
        <f>IF(AND(ISNUMBER(F10),ISNUMBER(G10)),F10*G10,"")</f>
        <v/>
      </c>
    </row>
    <row r="11" spans="1:8">
      <c r="A11" s="19" t="s">
        <v>27</v>
      </c>
      <c r="B11" s="19" t="s">
        <v>28</v>
      </c>
      <c r="D11" s="19" t="s">
        <v>21</v>
      </c>
      <c r="E11" s="19" t="s">
        <v>24</v>
      </c>
      <c r="F11" s="19">
        <f>CEILING(BoardQty*2,1)</f>
        <v>2</v>
      </c>
      <c r="H11" s="20">
        <f>IF(AND(ISNUMBER(F11),ISNUMBER(G11)),F11*G11,"")</f>
        <v/>
      </c>
    </row>
    <row r="12" spans="1:8" ht="30" customHeight="1">
      <c r="A12" s="19" t="s">
        <v>31</v>
      </c>
      <c r="B12" s="19" t="s">
        <v>32</v>
      </c>
      <c r="D12" s="19" t="s">
        <v>21</v>
      </c>
      <c r="E12" s="19" t="s">
        <v>34</v>
      </c>
      <c r="F12" s="19">
        <f>CEILING(BoardQty*4,1)</f>
        <v>4</v>
      </c>
      <c r="H12" s="20">
        <f>IF(AND(ISNUMBER(F12),ISNUMBER(G12)),F12*G12,"")</f>
        <v/>
      </c>
    </row>
    <row r="13" spans="1:8" ht="30" customHeight="1">
      <c r="A13" s="19" t="s">
        <v>37</v>
      </c>
      <c r="B13" s="19" t="s">
        <v>38</v>
      </c>
      <c r="D13" s="19" t="s">
        <v>21</v>
      </c>
      <c r="E13" s="19" t="s">
        <v>39</v>
      </c>
      <c r="F13" s="19">
        <f>BoardQty*1</f>
        <v>1</v>
      </c>
      <c r="H13" s="20">
        <f>IF(AND(ISNUMBER(F13),ISNUMBER(G13)),F13*G13,"")</f>
        <v/>
      </c>
    </row>
    <row r="14" spans="1:8" ht="30" customHeight="1">
      <c r="A14" s="19" t="s">
        <v>43</v>
      </c>
      <c r="B14" s="19" t="s">
        <v>44</v>
      </c>
      <c r="D14" s="19" t="s">
        <v>21</v>
      </c>
      <c r="E14" s="19" t="s">
        <v>34</v>
      </c>
      <c r="F14" s="19">
        <f>CEILING(BoardQty*17,1)</f>
        <v>17</v>
      </c>
      <c r="H14" s="20">
        <f>IF(AND(ISNUMBER(F14),ISNUMBER(G14)),F14*G14,"")</f>
        <v/>
      </c>
    </row>
    <row r="15" spans="1:8" ht="30" customHeight="1">
      <c r="A15" s="19" t="s">
        <v>51</v>
      </c>
      <c r="B15" s="19" t="s">
        <v>52</v>
      </c>
      <c r="D15" s="19" t="s">
        <v>21</v>
      </c>
      <c r="E15" s="19" t="s">
        <v>34</v>
      </c>
      <c r="F15" s="19">
        <f>CEILING(BoardQty*2,1)</f>
        <v>2</v>
      </c>
      <c r="H15" s="20">
        <f>IF(AND(ISNUMBER(F15),ISNUMBER(G15)),F15*G15,"")</f>
        <v/>
      </c>
    </row>
    <row r="16" spans="1:8" ht="30" customHeight="1">
      <c r="A16" s="19" t="s">
        <v>56</v>
      </c>
      <c r="B16" s="19" t="s">
        <v>57</v>
      </c>
      <c r="D16" s="19" t="s">
        <v>21</v>
      </c>
      <c r="E16" s="19" t="s">
        <v>34</v>
      </c>
      <c r="F16" s="19">
        <f>CEILING(BoardQty*22,1)</f>
        <v>22</v>
      </c>
      <c r="H16" s="20">
        <f>IF(AND(ISNUMBER(F16),ISNUMBER(G16)),F16*G16,"")</f>
        <v/>
      </c>
    </row>
    <row r="17" spans="1:8" ht="30" customHeight="1">
      <c r="A17" s="19" t="s">
        <v>63</v>
      </c>
      <c r="B17" s="19" t="s">
        <v>64</v>
      </c>
      <c r="D17" s="19" t="s">
        <v>65</v>
      </c>
      <c r="E17" s="19" t="s">
        <v>66</v>
      </c>
      <c r="F17" s="19">
        <f>CEILING(BoardQty*2,1)</f>
        <v>2</v>
      </c>
      <c r="H17" s="20">
        <f>IF(AND(ISNUMBER(F17),ISNUMBER(G17)),F17*G17,"")</f>
        <v/>
      </c>
    </row>
    <row r="18" spans="1:8" ht="45" customHeight="1">
      <c r="A18" s="19" t="s">
        <v>71</v>
      </c>
      <c r="B18" s="19" t="s">
        <v>70</v>
      </c>
      <c r="D18" s="19" t="s">
        <v>72</v>
      </c>
      <c r="E18" s="19" t="s">
        <v>73</v>
      </c>
      <c r="F18" s="19">
        <f>BoardQty*1</f>
        <v>1</v>
      </c>
      <c r="H18" s="20">
        <f>IF(AND(ISNUMBER(F18),ISNUMBER(G18)),F18*G18,"")</f>
        <v/>
      </c>
    </row>
    <row r="19" spans="1:8">
      <c r="A19" s="19" t="s">
        <v>78</v>
      </c>
      <c r="B19" s="19" t="s">
        <v>79</v>
      </c>
      <c r="C19" s="19" t="s">
        <v>362</v>
      </c>
      <c r="D19" s="19" t="s">
        <v>80</v>
      </c>
      <c r="F19" s="19">
        <f>BoardQty*1</f>
        <v>1</v>
      </c>
      <c r="H19" s="20">
        <f>IF(AND(ISNUMBER(F19),ISNUMBER(G19)),F19*G19,"")</f>
        <v/>
      </c>
    </row>
    <row r="20" spans="1:8">
      <c r="A20" s="19" t="s">
        <v>84</v>
      </c>
      <c r="B20" s="19" t="s">
        <v>85</v>
      </c>
      <c r="C20" s="19" t="s">
        <v>362</v>
      </c>
      <c r="D20" s="19" t="s">
        <v>80</v>
      </c>
      <c r="F20" s="19">
        <f>CEILING(BoardQty*2,1)</f>
        <v>2</v>
      </c>
      <c r="H20" s="20">
        <f>IF(AND(ISNUMBER(F20),ISNUMBER(G20)),F20*G20,"")</f>
        <v/>
      </c>
    </row>
    <row r="21" spans="1:8" ht="30" customHeight="1">
      <c r="A21" s="19" t="s">
        <v>89</v>
      </c>
      <c r="B21" s="19" t="s">
        <v>90</v>
      </c>
      <c r="D21" s="19" t="s">
        <v>91</v>
      </c>
      <c r="E21" s="19" t="s">
        <v>92</v>
      </c>
      <c r="F21" s="19">
        <f>BoardQty*1</f>
        <v>1</v>
      </c>
      <c r="H21" s="20">
        <f>IF(AND(ISNUMBER(F21),ISNUMBER(G21)),F21*G21,"")</f>
        <v/>
      </c>
    </row>
    <row r="22" spans="1:8" ht="30" customHeight="1">
      <c r="A22" s="19" t="s">
        <v>96</v>
      </c>
      <c r="B22" s="19" t="s">
        <v>97</v>
      </c>
      <c r="D22" s="19" t="s">
        <v>98</v>
      </c>
      <c r="E22" s="19" t="s">
        <v>99</v>
      </c>
      <c r="F22" s="19">
        <f>BoardQty*1</f>
        <v>1</v>
      </c>
      <c r="H22" s="20">
        <f>IF(AND(ISNUMBER(F22),ISNUMBER(G22)),F22*G22,"")</f>
        <v/>
      </c>
    </row>
    <row r="23" spans="1:8">
      <c r="A23" s="19" t="s">
        <v>103</v>
      </c>
      <c r="B23" s="19" t="s">
        <v>104</v>
      </c>
      <c r="D23" s="19" t="s">
        <v>105</v>
      </c>
      <c r="E23" s="19" t="s">
        <v>106</v>
      </c>
      <c r="F23" s="19">
        <f>BoardQty*1</f>
        <v>1</v>
      </c>
      <c r="H23" s="20">
        <f>IF(AND(ISNUMBER(F23),ISNUMBER(G23)),F23*G23,"")</f>
        <v/>
      </c>
    </row>
    <row r="24" spans="1:8">
      <c r="A24" s="19" t="s">
        <v>110</v>
      </c>
      <c r="B24" s="19" t="s">
        <v>111</v>
      </c>
      <c r="D24" s="19" t="s">
        <v>112</v>
      </c>
      <c r="E24" s="19" t="s">
        <v>106</v>
      </c>
      <c r="F24" s="19">
        <f>BoardQty*1</f>
        <v>1</v>
      </c>
      <c r="H24" s="20">
        <f>IF(AND(ISNUMBER(F24),ISNUMBER(G24)),F24*G24,"")</f>
        <v/>
      </c>
    </row>
    <row r="25" spans="1:8">
      <c r="A25" s="19" t="s">
        <v>116</v>
      </c>
      <c r="B25" s="19" t="s">
        <v>117</v>
      </c>
      <c r="D25" s="19" t="s">
        <v>118</v>
      </c>
      <c r="E25" s="19" t="s">
        <v>119</v>
      </c>
      <c r="F25" s="19">
        <f>CEILING(BoardQty*2,1)</f>
        <v>2</v>
      </c>
      <c r="H25" s="20">
        <f>IF(AND(ISNUMBER(F25),ISNUMBER(G25)),F25*G25,"")</f>
        <v/>
      </c>
    </row>
    <row r="26" spans="1:8">
      <c r="A26" s="19" t="s">
        <v>123</v>
      </c>
      <c r="B26" s="19" t="s">
        <v>124</v>
      </c>
      <c r="D26" s="19" t="s">
        <v>125</v>
      </c>
      <c r="E26" s="19" t="s">
        <v>126</v>
      </c>
      <c r="F26" s="19">
        <f>CEILING(BoardQty*6,1)</f>
        <v>6</v>
      </c>
      <c r="H26" s="20">
        <f>IF(AND(ISNUMBER(F26),ISNUMBER(G26)),F26*G26,"")</f>
        <v/>
      </c>
    </row>
    <row r="27" spans="1:8">
      <c r="A27" s="19" t="s">
        <v>131</v>
      </c>
      <c r="B27" s="19" t="s">
        <v>132</v>
      </c>
      <c r="D27" s="19" t="s">
        <v>133</v>
      </c>
      <c r="F27" s="19">
        <f>BoardQty*1</f>
        <v>1</v>
      </c>
      <c r="H27" s="20">
        <f>IF(AND(ISNUMBER(F27),ISNUMBER(G27)),F27*G27,"")</f>
        <v/>
      </c>
    </row>
    <row r="28" spans="1:8" ht="30" customHeight="1">
      <c r="A28" s="19" t="s">
        <v>136</v>
      </c>
      <c r="B28" s="19" t="s">
        <v>135</v>
      </c>
      <c r="D28" s="19" t="s">
        <v>137</v>
      </c>
      <c r="E28" s="19" t="s">
        <v>138</v>
      </c>
      <c r="F28" s="19">
        <f>BoardQty*1</f>
        <v>1</v>
      </c>
      <c r="H28" s="20">
        <f>IF(AND(ISNUMBER(F28),ISNUMBER(G28)),F28*G28,"")</f>
        <v/>
      </c>
    </row>
    <row r="29" spans="1:8" ht="30" customHeight="1">
      <c r="A29" s="19" t="s">
        <v>142</v>
      </c>
      <c r="B29" s="19" t="s">
        <v>141</v>
      </c>
      <c r="C29" s="19" t="s">
        <v>363</v>
      </c>
      <c r="D29" s="19" t="s">
        <v>143</v>
      </c>
      <c r="E29" s="19" t="s">
        <v>144</v>
      </c>
      <c r="F29" s="19">
        <f>BoardQty*1</f>
        <v>1</v>
      </c>
      <c r="H29" s="20">
        <f>IF(AND(ISNUMBER(F29),ISNUMBER(G29)),F29*G29,"")</f>
        <v/>
      </c>
    </row>
    <row r="30" spans="1:8" ht="30" customHeight="1">
      <c r="A30" s="19" t="s">
        <v>147</v>
      </c>
      <c r="B30" s="19" t="s">
        <v>146</v>
      </c>
      <c r="C30" s="19" t="s">
        <v>364</v>
      </c>
      <c r="D30" s="19" t="s">
        <v>148</v>
      </c>
      <c r="E30" s="19" t="s">
        <v>149</v>
      </c>
      <c r="F30" s="19">
        <f>BoardQty*1</f>
        <v>1</v>
      </c>
      <c r="H30" s="20">
        <f>IF(AND(ISNUMBER(F30),ISNUMBER(G30)),F30*G30,"")</f>
        <v/>
      </c>
    </row>
    <row r="31" spans="1:8" ht="30" customHeight="1">
      <c r="A31" s="19" t="s">
        <v>151</v>
      </c>
      <c r="B31" s="19" t="s">
        <v>152</v>
      </c>
      <c r="D31" s="19" t="s">
        <v>153</v>
      </c>
      <c r="E31" s="19" t="s">
        <v>154</v>
      </c>
      <c r="F31" s="19">
        <f>CEILING(BoardQty*4,1)</f>
        <v>4</v>
      </c>
      <c r="H31" s="20">
        <f>IF(AND(ISNUMBER(F31),ISNUMBER(G31)),F31*G31,"")</f>
        <v/>
      </c>
    </row>
    <row r="32" spans="1:8">
      <c r="A32" s="19" t="s">
        <v>158</v>
      </c>
      <c r="B32" s="19" t="s">
        <v>159</v>
      </c>
      <c r="D32" s="19" t="s">
        <v>160</v>
      </c>
      <c r="E32" s="19" t="s">
        <v>161</v>
      </c>
      <c r="F32" s="19">
        <f>BoardQty*1</f>
        <v>1</v>
      </c>
      <c r="H32" s="20">
        <f>IF(AND(ISNUMBER(F32),ISNUMBER(G32)),F32*G32,"")</f>
        <v/>
      </c>
    </row>
    <row r="33" spans="1:8">
      <c r="A33" s="19" t="s">
        <v>166</v>
      </c>
      <c r="B33" s="19" t="s">
        <v>165</v>
      </c>
      <c r="D33" s="19" t="s">
        <v>167</v>
      </c>
      <c r="E33" s="19" t="s">
        <v>168</v>
      </c>
      <c r="F33" s="19">
        <f>BoardQty*1</f>
        <v>1</v>
      </c>
      <c r="H33" s="20">
        <f>IF(AND(ISNUMBER(F33),ISNUMBER(G33)),F33*G33,"")</f>
        <v/>
      </c>
    </row>
    <row r="34" spans="1:8">
      <c r="A34" s="19" t="s">
        <v>172</v>
      </c>
      <c r="B34" s="19" t="s">
        <v>173</v>
      </c>
      <c r="C34" s="19" t="s">
        <v>365</v>
      </c>
      <c r="D34" s="19" t="s">
        <v>174</v>
      </c>
      <c r="F34" s="19">
        <f>CEILING(BoardQty*2,1)</f>
        <v>2</v>
      </c>
      <c r="H34" s="20">
        <f>IF(AND(ISNUMBER(F34),ISNUMBER(G34)),F34*G34,"")</f>
        <v/>
      </c>
    </row>
    <row r="35" spans="1:8">
      <c r="A35" s="19" t="s">
        <v>178</v>
      </c>
      <c r="B35" s="19" t="s">
        <v>179</v>
      </c>
      <c r="C35" s="19" t="s">
        <v>365</v>
      </c>
      <c r="D35" s="19" t="s">
        <v>174</v>
      </c>
      <c r="F35" s="19">
        <f>CEILING(BoardQty*2,1)</f>
        <v>2</v>
      </c>
      <c r="H35" s="20">
        <f>IF(AND(ISNUMBER(F35),ISNUMBER(G35)),F35*G35,"")</f>
        <v/>
      </c>
    </row>
    <row r="36" spans="1:8">
      <c r="A36" s="19" t="s">
        <v>182</v>
      </c>
      <c r="B36" s="19" t="s">
        <v>183</v>
      </c>
      <c r="C36" s="19" t="s">
        <v>365</v>
      </c>
      <c r="D36" s="19" t="s">
        <v>174</v>
      </c>
      <c r="F36" s="19">
        <f>BoardQty*1</f>
        <v>1</v>
      </c>
      <c r="H36" s="20">
        <f>IF(AND(ISNUMBER(F36),ISNUMBER(G36)),F36*G36,"")</f>
        <v/>
      </c>
    </row>
    <row r="37" spans="1:8">
      <c r="A37" s="19" t="s">
        <v>186</v>
      </c>
      <c r="B37" s="19" t="s">
        <v>187</v>
      </c>
      <c r="C37" s="19" t="s">
        <v>365</v>
      </c>
      <c r="D37" s="19" t="s">
        <v>174</v>
      </c>
      <c r="F37" s="19">
        <f>CEILING(BoardQty*3,1)</f>
        <v>3</v>
      </c>
      <c r="H37" s="20">
        <f>IF(AND(ISNUMBER(F37),ISNUMBER(G37)),F37*G37,"")</f>
        <v/>
      </c>
    </row>
    <row r="38" spans="1:8">
      <c r="A38" s="19" t="s">
        <v>190</v>
      </c>
      <c r="B38" s="19" t="s">
        <v>191</v>
      </c>
      <c r="C38" s="19" t="s">
        <v>365</v>
      </c>
      <c r="D38" s="19" t="s">
        <v>174</v>
      </c>
      <c r="F38" s="19">
        <f>CEILING(BoardQty*5,1)</f>
        <v>5</v>
      </c>
      <c r="H38" s="20">
        <f>IF(AND(ISNUMBER(F38),ISNUMBER(G38)),F38*G38,"")</f>
        <v/>
      </c>
    </row>
    <row r="39" spans="1:8">
      <c r="A39" s="19" t="s">
        <v>194</v>
      </c>
      <c r="B39" s="19" t="s">
        <v>195</v>
      </c>
      <c r="C39" s="19" t="s">
        <v>365</v>
      </c>
      <c r="D39" s="19" t="s">
        <v>174</v>
      </c>
      <c r="F39" s="19">
        <f>CEILING(BoardQty*5,1)</f>
        <v>5</v>
      </c>
      <c r="H39" s="20">
        <f>IF(AND(ISNUMBER(F39),ISNUMBER(G39)),F39*G39,"")</f>
        <v/>
      </c>
    </row>
    <row r="40" spans="1:8">
      <c r="A40" s="19" t="s">
        <v>199</v>
      </c>
      <c r="B40" s="19" t="s">
        <v>200</v>
      </c>
      <c r="C40" s="19" t="s">
        <v>365</v>
      </c>
      <c r="D40" s="19" t="s">
        <v>174</v>
      </c>
      <c r="F40" s="19">
        <f>CEILING(BoardQty*2,1)</f>
        <v>2</v>
      </c>
      <c r="H40" s="20">
        <f>IF(AND(ISNUMBER(F40),ISNUMBER(G40)),F40*G40,"")</f>
        <v/>
      </c>
    </row>
    <row r="41" spans="1:8">
      <c r="A41" s="19" t="s">
        <v>203</v>
      </c>
      <c r="B41" s="19" t="s">
        <v>204</v>
      </c>
      <c r="C41" s="19" t="s">
        <v>365</v>
      </c>
      <c r="D41" s="19" t="s">
        <v>174</v>
      </c>
      <c r="F41" s="19">
        <f>CEILING(BoardQty*2,1)</f>
        <v>2</v>
      </c>
      <c r="H41" s="20">
        <f>IF(AND(ISNUMBER(F41),ISNUMBER(G41)),F41*G41,"")</f>
        <v/>
      </c>
    </row>
    <row r="42" spans="1:8">
      <c r="A42" s="19" t="s">
        <v>207</v>
      </c>
      <c r="B42" s="19" t="s">
        <v>208</v>
      </c>
      <c r="C42" s="19" t="s">
        <v>365</v>
      </c>
      <c r="D42" s="19" t="s">
        <v>174</v>
      </c>
      <c r="F42" s="19">
        <f>BoardQty*1</f>
        <v>1</v>
      </c>
      <c r="H42" s="20">
        <f>IF(AND(ISNUMBER(F42),ISNUMBER(G42)),F42*G42,"")</f>
        <v/>
      </c>
    </row>
    <row r="43" spans="1:8">
      <c r="A43" s="19" t="s">
        <v>212</v>
      </c>
      <c r="B43" s="19" t="s">
        <v>213</v>
      </c>
      <c r="C43" s="19" t="s">
        <v>365</v>
      </c>
      <c r="D43" s="19" t="s">
        <v>174</v>
      </c>
      <c r="F43" s="19">
        <f>CEILING(BoardQty*5,1)</f>
        <v>5</v>
      </c>
      <c r="H43" s="20">
        <f>IF(AND(ISNUMBER(F43),ISNUMBER(G43)),F43*G43,"")</f>
        <v/>
      </c>
    </row>
    <row r="44" spans="1:8" ht="30" customHeight="1">
      <c r="A44" s="19" t="s">
        <v>216</v>
      </c>
      <c r="B44" s="19" t="s">
        <v>217</v>
      </c>
      <c r="D44" s="19" t="s">
        <v>218</v>
      </c>
      <c r="E44" s="19" t="s">
        <v>219</v>
      </c>
      <c r="F44" s="19">
        <f>CEILING(BoardQty*2,1)</f>
        <v>2</v>
      </c>
      <c r="H44" s="20">
        <f>IF(AND(ISNUMBER(F44),ISNUMBER(G44)),F44*G44,"")</f>
        <v/>
      </c>
    </row>
    <row r="45" spans="1:8" ht="30" customHeight="1">
      <c r="A45" s="19" t="s">
        <v>224</v>
      </c>
      <c r="B45" s="19" t="s">
        <v>225</v>
      </c>
      <c r="D45" s="19" t="s">
        <v>226</v>
      </c>
      <c r="E45" s="19" t="s">
        <v>227</v>
      </c>
      <c r="F45" s="19">
        <f>CEILING(BoardQty*6,1)</f>
        <v>6</v>
      </c>
      <c r="H45" s="20">
        <f>IF(AND(ISNUMBER(F45),ISNUMBER(G45)),F45*G45,"")</f>
        <v/>
      </c>
    </row>
    <row r="46" spans="1:8">
      <c r="A46" s="19" t="s">
        <v>232</v>
      </c>
      <c r="B46" s="19" t="s">
        <v>231</v>
      </c>
      <c r="D46" s="19" t="s">
        <v>233</v>
      </c>
      <c r="E46" s="19" t="s">
        <v>234</v>
      </c>
      <c r="F46" s="19">
        <f>CEILING(BoardQty*2,1)</f>
        <v>2</v>
      </c>
      <c r="H46" s="20">
        <f>IF(AND(ISNUMBER(F46),ISNUMBER(G46)),F46*G46,"")</f>
        <v/>
      </c>
    </row>
    <row r="47" spans="1:8">
      <c r="A47" s="19" t="s">
        <v>238</v>
      </c>
      <c r="B47" s="19" t="s">
        <v>237</v>
      </c>
      <c r="D47" s="19" t="s">
        <v>239</v>
      </c>
      <c r="E47" s="19" t="s">
        <v>240</v>
      </c>
      <c r="F47" s="19">
        <f>BoardQty*1</f>
        <v>1</v>
      </c>
      <c r="H47" s="20">
        <f>IF(AND(ISNUMBER(F47),ISNUMBER(G47)),F47*G47,"")</f>
        <v/>
      </c>
    </row>
    <row r="48" spans="1:8" ht="45" customHeight="1">
      <c r="A48" s="19" t="s">
        <v>245</v>
      </c>
      <c r="B48" s="19" t="s">
        <v>246</v>
      </c>
      <c r="D48" s="19" t="s">
        <v>247</v>
      </c>
      <c r="E48" s="19" t="s">
        <v>248</v>
      </c>
      <c r="F48" s="19">
        <f>BoardQty*1</f>
        <v>1</v>
      </c>
      <c r="H48" s="20">
        <f>IF(AND(ISNUMBER(F48),ISNUMBER(G48)),F48*G48,"")</f>
        <v/>
      </c>
    </row>
    <row r="49" spans="1:8" ht="30" customHeight="1">
      <c r="A49" s="19" t="s">
        <v>252</v>
      </c>
      <c r="B49" s="19" t="s">
        <v>251</v>
      </c>
      <c r="C49" s="19" t="s">
        <v>366</v>
      </c>
      <c r="D49" s="19" t="s">
        <v>253</v>
      </c>
      <c r="E49" s="19" t="s">
        <v>254</v>
      </c>
      <c r="F49" s="19">
        <f>BoardQty*1</f>
        <v>1</v>
      </c>
      <c r="H49" s="20">
        <f>IF(AND(ISNUMBER(F49),ISNUMBER(G49)),F49*G49,"")</f>
        <v/>
      </c>
    </row>
    <row r="50" spans="1:8" ht="30" customHeight="1">
      <c r="A50" s="19" t="s">
        <v>258</v>
      </c>
      <c r="B50" s="19" t="s">
        <v>257</v>
      </c>
      <c r="C50" s="19" t="s">
        <v>367</v>
      </c>
      <c r="D50" s="19" t="s">
        <v>259</v>
      </c>
      <c r="E50" s="19" t="s">
        <v>260</v>
      </c>
      <c r="F50" s="19">
        <f>BoardQty*1</f>
        <v>1</v>
      </c>
      <c r="H50" s="20">
        <f>IF(AND(ISNUMBER(F50),ISNUMBER(G50)),F50*G50,"")</f>
        <v/>
      </c>
    </row>
    <row r="51" spans="1:8">
      <c r="A51" s="19" t="s">
        <v>264</v>
      </c>
      <c r="B51" s="19" t="s">
        <v>263</v>
      </c>
      <c r="D51" s="19" t="s">
        <v>265</v>
      </c>
      <c r="E51" s="19" t="s">
        <v>266</v>
      </c>
      <c r="F51" s="19">
        <f>BoardQty*1</f>
        <v>1</v>
      </c>
      <c r="H51" s="20">
        <f>IF(AND(ISNUMBER(F51),ISNUMBER(G51)),F51*G51,"")</f>
        <v/>
      </c>
    </row>
    <row r="52" spans="1:8" ht="30" customHeight="1">
      <c r="A52" s="19" t="s">
        <v>270</v>
      </c>
      <c r="B52" s="19" t="s">
        <v>269</v>
      </c>
      <c r="D52" s="19" t="s">
        <v>271</v>
      </c>
      <c r="E52" s="19" t="s">
        <v>272</v>
      </c>
      <c r="F52" s="19">
        <f>BoardQty*1</f>
        <v>1</v>
      </c>
      <c r="H52" s="20">
        <f>IF(AND(ISNUMBER(F52),ISNUMBER(G52)),F52*G52,"")</f>
        <v/>
      </c>
    </row>
    <row r="53" spans="1:8" ht="30" customHeight="1">
      <c r="A53" s="19" t="s">
        <v>276</v>
      </c>
      <c r="B53" s="19" t="s">
        <v>275</v>
      </c>
      <c r="C53" s="19" t="s">
        <v>368</v>
      </c>
      <c r="D53" s="19" t="s">
        <v>277</v>
      </c>
      <c r="E53" s="19" t="s">
        <v>278</v>
      </c>
      <c r="F53" s="19">
        <f>BoardQty*1</f>
        <v>1</v>
      </c>
      <c r="H53" s="20">
        <f>IF(AND(ISNUMBER(F53),ISNUMBER(G53)),F53*G53,"")</f>
        <v/>
      </c>
    </row>
    <row r="54" spans="1:8" ht="30" customHeight="1">
      <c r="A54" s="19" t="s">
        <v>282</v>
      </c>
      <c r="B54" s="19" t="s">
        <v>281</v>
      </c>
      <c r="C54" s="19" t="s">
        <v>369</v>
      </c>
      <c r="D54" s="19" t="s">
        <v>283</v>
      </c>
      <c r="E54" s="19" t="s">
        <v>284</v>
      </c>
      <c r="F54" s="19">
        <f>BoardQty*1</f>
        <v>1</v>
      </c>
      <c r="H54" s="20">
        <f>IF(AND(ISNUMBER(F54),ISNUMBER(G54)),F54*G54,"")</f>
        <v/>
      </c>
    </row>
    <row r="55" spans="1:8" ht="30" customHeight="1">
      <c r="A55" s="19" t="s">
        <v>288</v>
      </c>
      <c r="B55" s="19" t="s">
        <v>287</v>
      </c>
      <c r="C55" s="19" t="s">
        <v>370</v>
      </c>
      <c r="D55" s="19" t="s">
        <v>289</v>
      </c>
      <c r="E55" s="19" t="s">
        <v>290</v>
      </c>
      <c r="F55" s="19">
        <f>BoardQty*1</f>
        <v>1</v>
      </c>
      <c r="H55" s="20">
        <f>IF(AND(ISNUMBER(F55),ISNUMBER(G55)),F55*G55,"")</f>
        <v/>
      </c>
    </row>
    <row r="56" spans="1:8" ht="30" customHeight="1">
      <c r="A56" s="19" t="s">
        <v>294</v>
      </c>
      <c r="B56" s="19" t="s">
        <v>295</v>
      </c>
      <c r="D56" s="19" t="s">
        <v>296</v>
      </c>
      <c r="E56" s="19" t="s">
        <v>297</v>
      </c>
      <c r="F56" s="19">
        <f>BoardQty*1</f>
        <v>1</v>
      </c>
      <c r="H56" s="20">
        <f>IF(AND(ISNUMBER(F56),ISNUMBER(G56)),F56*G56,"")</f>
        <v/>
      </c>
    </row>
    <row r="57" spans="1:8">
      <c r="A57" s="19" t="s">
        <v>301</v>
      </c>
      <c r="B57" s="19" t="s">
        <v>300</v>
      </c>
      <c r="D57" s="19" t="s">
        <v>302</v>
      </c>
      <c r="E57" s="19" t="s">
        <v>303</v>
      </c>
      <c r="F57" s="19">
        <f>BoardQty*1</f>
        <v>1</v>
      </c>
      <c r="H57" s="20">
        <f>IF(AND(ISNUMBER(F57),ISNUMBER(G57)),F57*G57,"")</f>
        <v/>
      </c>
    </row>
    <row r="58" spans="1:8" ht="30" customHeight="1">
      <c r="A58" s="19" t="s">
        <v>307</v>
      </c>
      <c r="B58" s="19" t="s">
        <v>306</v>
      </c>
      <c r="C58" s="19" t="s">
        <v>371</v>
      </c>
      <c r="D58" s="19" t="s">
        <v>308</v>
      </c>
      <c r="E58" s="19" t="s">
        <v>309</v>
      </c>
      <c r="F58" s="19">
        <f>BoardQty*1</f>
        <v>1</v>
      </c>
      <c r="H58" s="20">
        <f>IF(AND(ISNUMBER(F58),ISNUMBER(G58)),F58*G58,"")</f>
        <v/>
      </c>
    </row>
    <row r="61" spans="1:8">
      <c r="A61" s="21" t="s">
        <v>375</v>
      </c>
      <c r="B61" s="22" t="s">
        <v>376</v>
      </c>
    </row>
    <row r="62" spans="1:8">
      <c r="A62" s="23" t="s">
        <v>377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conditionalFormatting sqref="F19">
    <cfRule type="expression" dxfId="0" priority="10">
      <formula>AND(ISBLANK(E19),TRUE())</formula>
    </cfRule>
  </conditionalFormatting>
  <conditionalFormatting sqref="F20">
    <cfRule type="expression" dxfId="0" priority="11">
      <formula>AND(ISBLANK(E20),TRUE())</formula>
    </cfRule>
  </conditionalFormatting>
  <conditionalFormatting sqref="F21">
    <cfRule type="expression" dxfId="0" priority="12">
      <formula>AND(ISBLANK(E21),TRUE())</formula>
    </cfRule>
  </conditionalFormatting>
  <conditionalFormatting sqref="F22">
    <cfRule type="expression" dxfId="0" priority="13">
      <formula>AND(ISBLANK(E22),TRUE())</formula>
    </cfRule>
  </conditionalFormatting>
  <conditionalFormatting sqref="F23">
    <cfRule type="expression" dxfId="0" priority="14">
      <formula>AND(ISBLANK(E23),TRUE())</formula>
    </cfRule>
  </conditionalFormatting>
  <conditionalFormatting sqref="F24">
    <cfRule type="expression" dxfId="0" priority="15">
      <formula>AND(ISBLANK(E24),TRUE())</formula>
    </cfRule>
  </conditionalFormatting>
  <conditionalFormatting sqref="F25">
    <cfRule type="expression" dxfId="0" priority="16">
      <formula>AND(ISBLANK(E25),TRUE())</formula>
    </cfRule>
  </conditionalFormatting>
  <conditionalFormatting sqref="F26">
    <cfRule type="expression" dxfId="0" priority="17">
      <formula>AND(ISBLANK(E26),TRUE())</formula>
    </cfRule>
  </conditionalFormatting>
  <conditionalFormatting sqref="F27">
    <cfRule type="expression" dxfId="0" priority="18">
      <formula>AND(ISBLANK(E27),TRUE())</formula>
    </cfRule>
  </conditionalFormatting>
  <conditionalFormatting sqref="F28">
    <cfRule type="expression" dxfId="0" priority="19">
      <formula>AND(ISBLANK(E28),TRUE())</formula>
    </cfRule>
  </conditionalFormatting>
  <conditionalFormatting sqref="F29">
    <cfRule type="expression" dxfId="0" priority="20">
      <formula>AND(ISBLANK(E29),TRUE())</formula>
    </cfRule>
  </conditionalFormatting>
  <conditionalFormatting sqref="F30">
    <cfRule type="expression" dxfId="0" priority="21">
      <formula>AND(ISBLANK(E30),TRUE())</formula>
    </cfRule>
  </conditionalFormatting>
  <conditionalFormatting sqref="F31">
    <cfRule type="expression" dxfId="0" priority="22">
      <formula>AND(ISBLANK(E31),TRUE())</formula>
    </cfRule>
  </conditionalFormatting>
  <conditionalFormatting sqref="F32">
    <cfRule type="expression" dxfId="0" priority="23">
      <formula>AND(ISBLANK(E32),TRUE())</formula>
    </cfRule>
  </conditionalFormatting>
  <conditionalFormatting sqref="F33">
    <cfRule type="expression" dxfId="0" priority="24">
      <formula>AND(ISBLANK(E33),TRUE())</formula>
    </cfRule>
  </conditionalFormatting>
  <conditionalFormatting sqref="F34">
    <cfRule type="expression" dxfId="0" priority="25">
      <formula>AND(ISBLANK(E34),TRUE())</formula>
    </cfRule>
  </conditionalFormatting>
  <conditionalFormatting sqref="F35">
    <cfRule type="expression" dxfId="0" priority="26">
      <formula>AND(ISBLANK(E35),TRUE())</formula>
    </cfRule>
  </conditionalFormatting>
  <conditionalFormatting sqref="F36">
    <cfRule type="expression" dxfId="0" priority="27">
      <formula>AND(ISBLANK(E36),TRUE())</formula>
    </cfRule>
  </conditionalFormatting>
  <conditionalFormatting sqref="F37">
    <cfRule type="expression" dxfId="0" priority="28">
      <formula>AND(ISBLANK(E37),TRUE())</formula>
    </cfRule>
  </conditionalFormatting>
  <conditionalFormatting sqref="F38">
    <cfRule type="expression" dxfId="0" priority="29">
      <formula>AND(ISBLANK(E38),TRUE())</formula>
    </cfRule>
  </conditionalFormatting>
  <conditionalFormatting sqref="F39">
    <cfRule type="expression" dxfId="0" priority="30">
      <formula>AND(ISBLANK(E39),TRUE())</formula>
    </cfRule>
  </conditionalFormatting>
  <conditionalFormatting sqref="F40">
    <cfRule type="expression" dxfId="0" priority="31">
      <formula>AND(ISBLANK(E40),TRUE())</formula>
    </cfRule>
  </conditionalFormatting>
  <conditionalFormatting sqref="F41">
    <cfRule type="expression" dxfId="0" priority="32">
      <formula>AND(ISBLANK(E41),TRUE())</formula>
    </cfRule>
  </conditionalFormatting>
  <conditionalFormatting sqref="F42">
    <cfRule type="expression" dxfId="0" priority="33">
      <formula>AND(ISBLANK(E42),TRUE())</formula>
    </cfRule>
  </conditionalFormatting>
  <conditionalFormatting sqref="F43">
    <cfRule type="expression" dxfId="0" priority="34">
      <formula>AND(ISBLANK(E43),TRUE())</formula>
    </cfRule>
  </conditionalFormatting>
  <conditionalFormatting sqref="F44">
    <cfRule type="expression" dxfId="0" priority="35">
      <formula>AND(ISBLANK(E44),TRUE())</formula>
    </cfRule>
  </conditionalFormatting>
  <conditionalFormatting sqref="F45">
    <cfRule type="expression" dxfId="0" priority="36">
      <formula>AND(ISBLANK(E45),TRUE())</formula>
    </cfRule>
  </conditionalFormatting>
  <conditionalFormatting sqref="F46">
    <cfRule type="expression" dxfId="0" priority="37">
      <formula>AND(ISBLANK(E46),TRUE())</formula>
    </cfRule>
  </conditionalFormatting>
  <conditionalFormatting sqref="F47">
    <cfRule type="expression" dxfId="0" priority="38">
      <formula>AND(ISBLANK(E47),TRUE())</formula>
    </cfRule>
  </conditionalFormatting>
  <conditionalFormatting sqref="F48">
    <cfRule type="expression" dxfId="0" priority="39">
      <formula>AND(ISBLANK(E48),TRUE())</formula>
    </cfRule>
  </conditionalFormatting>
  <conditionalFormatting sqref="F49">
    <cfRule type="expression" dxfId="0" priority="40">
      <formula>AND(ISBLANK(E49),TRUE())</formula>
    </cfRule>
  </conditionalFormatting>
  <conditionalFormatting sqref="F50">
    <cfRule type="expression" dxfId="0" priority="41">
      <formula>AND(ISBLANK(E50),TRUE())</formula>
    </cfRule>
  </conditionalFormatting>
  <conditionalFormatting sqref="F51">
    <cfRule type="expression" dxfId="0" priority="42">
      <formula>AND(ISBLANK(E51),TRUE())</formula>
    </cfRule>
  </conditionalFormatting>
  <conditionalFormatting sqref="F52">
    <cfRule type="expression" dxfId="0" priority="43">
      <formula>AND(ISBLANK(E52),TRUE())</formula>
    </cfRule>
  </conditionalFormatting>
  <conditionalFormatting sqref="F53">
    <cfRule type="expression" dxfId="0" priority="44">
      <formula>AND(ISBLANK(E53),TRUE())</formula>
    </cfRule>
  </conditionalFormatting>
  <conditionalFormatting sqref="F54">
    <cfRule type="expression" dxfId="0" priority="45">
      <formula>AND(ISBLANK(E54),TRUE())</formula>
    </cfRule>
  </conditionalFormatting>
  <conditionalFormatting sqref="F55">
    <cfRule type="expression" dxfId="0" priority="46">
      <formula>AND(ISBLANK(E55),TRUE())</formula>
    </cfRule>
  </conditionalFormatting>
  <conditionalFormatting sqref="F56">
    <cfRule type="expression" dxfId="0" priority="47">
      <formula>AND(ISBLANK(E56),TRUE())</formula>
    </cfRule>
  </conditionalFormatting>
  <conditionalFormatting sqref="F57">
    <cfRule type="expression" dxfId="0" priority="48">
      <formula>AND(ISBLANK(E57),TRUE())</formula>
    </cfRule>
  </conditionalFormatting>
  <conditionalFormatting sqref="F58">
    <cfRule type="expression" dxfId="0" priority="49">
      <formula>AND(ISBLANK(E58),TRUE())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21" r:id="rId10"/>
    <hyperlink ref="E22" r:id="rId11"/>
    <hyperlink ref="E23" r:id="rId12"/>
    <hyperlink ref="E24" r:id="rId13"/>
    <hyperlink ref="E25" r:id="rId14"/>
    <hyperlink ref="E26" r:id="rId15"/>
    <hyperlink ref="E28" r:id="rId16"/>
    <hyperlink ref="E29" r:id="rId17"/>
    <hyperlink ref="E30" r:id="rId18"/>
    <hyperlink ref="E31" r:id="rId19"/>
    <hyperlink ref="E32" r:id="rId20"/>
    <hyperlink ref="E33" r:id="rId21"/>
    <hyperlink ref="E44" r:id="rId22"/>
    <hyperlink ref="E45" r:id="rId23"/>
    <hyperlink ref="E46" r:id="rId24"/>
    <hyperlink ref="E47" r:id="rId25"/>
    <hyperlink ref="E48" r:id="rId26"/>
    <hyperlink ref="E49" r:id="rId27"/>
    <hyperlink ref="E50" r:id="rId28"/>
    <hyperlink ref="E51" r:id="rId29"/>
    <hyperlink ref="E52" r:id="rId30"/>
    <hyperlink ref="E53" r:id="rId31"/>
    <hyperlink ref="E54" r:id="rId32"/>
    <hyperlink ref="E55" r:id="rId33"/>
    <hyperlink ref="E56" r:id="rId34"/>
    <hyperlink ref="E57" r:id="rId35"/>
    <hyperlink ref="E58" r:id="rId36"/>
  </hyperlinks>
  <pageMargins left="0.7" right="0.7" top="0.75" bottom="0.75" header="0.3" footer="0.3"/>
  <drawing r:id="rId37"/>
  <legacyDrawing r:id="rId38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12.7109375" customWidth="1"/>
    <col min="2" max="2" width="24.7109375" customWidth="1"/>
    <col min="3" max="3" width="41.7109375" customWidth="1" outlineLevel="2"/>
    <col min="4" max="4" width="38.7109375" customWidth="1" outlineLevel="2"/>
    <col min="5" max="5" width="60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311</v>
      </c>
      <c r="E1" s="1"/>
      <c r="F1" s="1"/>
      <c r="G1" s="1"/>
      <c r="H1" s="1"/>
    </row>
    <row r="2" spans="1:8">
      <c r="D2" s="2" t="s">
        <v>312</v>
      </c>
      <c r="E2" s="3" t="s">
        <v>313</v>
      </c>
      <c r="G2" s="13" t="s">
        <v>372</v>
      </c>
      <c r="H2" s="13">
        <v>1</v>
      </c>
    </row>
    <row r="3" spans="1:8">
      <c r="D3" s="2" t="s">
        <v>314</v>
      </c>
      <c r="E3" s="3" t="s">
        <v>315</v>
      </c>
      <c r="G3" s="14" t="s">
        <v>374</v>
      </c>
      <c r="H3" s="15">
        <f>TotalCost/BoardQty</f>
        <v>0.0</v>
      </c>
    </row>
    <row r="4" spans="1:8">
      <c r="D4" s="2" t="s">
        <v>316</v>
      </c>
      <c r="E4" s="3" t="s">
        <v>317</v>
      </c>
      <c r="G4" s="14" t="s">
        <v>373</v>
      </c>
      <c r="H4" s="16">
        <f>SUM(H10:H15)</f>
        <v>0</v>
      </c>
    </row>
    <row r="5" spans="1:8">
      <c r="D5" s="2" t="s">
        <v>318</v>
      </c>
      <c r="E5" s="3" t="s">
        <v>319</v>
      </c>
    </row>
    <row r="6" spans="1:8">
      <c r="D6" s="2" t="s">
        <v>320</v>
      </c>
      <c r="E6" s="3" t="s">
        <v>321</v>
      </c>
    </row>
    <row r="8" spans="1:8">
      <c r="A8" s="17" t="s">
        <v>357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358</v>
      </c>
      <c r="F9" s="18" t="s">
        <v>359</v>
      </c>
      <c r="G9" s="18" t="s">
        <v>360</v>
      </c>
      <c r="H9" s="18" t="s">
        <v>361</v>
      </c>
    </row>
    <row r="10" spans="1:8" ht="30" customHeight="1">
      <c r="A10" s="19" t="s">
        <v>330</v>
      </c>
      <c r="B10" s="19" t="s">
        <v>331</v>
      </c>
      <c r="D10" s="19" t="s">
        <v>332</v>
      </c>
      <c r="E10" s="19" t="s">
        <v>334</v>
      </c>
      <c r="F10" s="19">
        <f>BoardQty*1</f>
        <v>1</v>
      </c>
      <c r="H10" s="20">
        <f>IF(AND(ISNUMBER(F10),ISNUMBER(G10)),F10*G10,"")</f>
        <v/>
      </c>
    </row>
    <row r="11" spans="1:8">
      <c r="A11" s="19" t="s">
        <v>337</v>
      </c>
      <c r="B11" s="19" t="s">
        <v>338</v>
      </c>
      <c r="C11" s="19" t="s">
        <v>378</v>
      </c>
      <c r="D11" s="19" t="s">
        <v>339</v>
      </c>
      <c r="E11" s="19" t="s">
        <v>340</v>
      </c>
      <c r="F11" s="19">
        <f>CEILING(BoardQty*2,1)</f>
        <v>2</v>
      </c>
      <c r="H11" s="20">
        <f>IF(AND(ISNUMBER(F11),ISNUMBER(G11)),F11*G11,"")</f>
        <v/>
      </c>
    </row>
    <row r="12" spans="1:8">
      <c r="A12" s="19" t="s">
        <v>343</v>
      </c>
      <c r="B12" s="19" t="s">
        <v>344</v>
      </c>
      <c r="D12" s="19" t="s">
        <v>345</v>
      </c>
      <c r="F12" s="19">
        <f>CEILING(BoardQty*2,1)</f>
        <v>2</v>
      </c>
      <c r="H12" s="20">
        <f>IF(AND(ISNUMBER(F12),ISNUMBER(G12)),F12*G12,"")</f>
        <v/>
      </c>
    </row>
    <row r="13" spans="1:8">
      <c r="A13" s="19" t="s">
        <v>346</v>
      </c>
      <c r="B13" s="19" t="s">
        <v>104</v>
      </c>
      <c r="D13" s="19" t="s">
        <v>347</v>
      </c>
      <c r="E13" s="19" t="s">
        <v>106</v>
      </c>
      <c r="F13" s="19">
        <f>CEILING(BoardQty*2,1)</f>
        <v>2</v>
      </c>
      <c r="H13" s="20">
        <f>IF(AND(ISNUMBER(F13),ISNUMBER(G13)),F13*G13,"")</f>
        <v/>
      </c>
    </row>
    <row r="14" spans="1:8">
      <c r="A14" s="19" t="s">
        <v>349</v>
      </c>
      <c r="B14" s="19" t="s">
        <v>350</v>
      </c>
      <c r="C14" s="19" t="s">
        <v>365</v>
      </c>
      <c r="D14" s="19" t="s">
        <v>174</v>
      </c>
      <c r="F14" s="19">
        <f>BoardQty*1</f>
        <v>1</v>
      </c>
      <c r="H14" s="20">
        <f>IF(AND(ISNUMBER(F14),ISNUMBER(G14)),F14*G14,"")</f>
        <v/>
      </c>
    </row>
    <row r="15" spans="1:8">
      <c r="A15" s="19" t="s">
        <v>351</v>
      </c>
      <c r="B15" s="19" t="s">
        <v>352</v>
      </c>
      <c r="D15" s="19" t="s">
        <v>353</v>
      </c>
      <c r="E15" s="19" t="s">
        <v>354</v>
      </c>
      <c r="F15" s="19">
        <f>CEILING(BoardQty*2,1)</f>
        <v>2</v>
      </c>
      <c r="H15" s="20">
        <f>IF(AND(ISNUMBER(F15),ISNUMBER(G15)),F15*G15,"")</f>
        <v/>
      </c>
    </row>
    <row r="18" spans="1:2">
      <c r="A18" s="21" t="s">
        <v>375</v>
      </c>
      <c r="B18" s="22" t="s">
        <v>376</v>
      </c>
    </row>
    <row r="19" spans="1:2">
      <c r="A19" s="23" t="s">
        <v>377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hyperlinks>
    <hyperlink ref="E10" r:id="rId1"/>
    <hyperlink ref="E11" r:id="rId2"/>
    <hyperlink ref="E13" r:id="rId3"/>
    <hyperlink ref="E15" r:id="rId4"/>
  </hyperlinks>
  <pageMargins left="0.7" right="0.7" top="0.75" bottom="0.75" header="0.3" footer="0.3"/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379</v>
      </c>
    </row>
    <row r="2" spans="1:1">
      <c r="A2" s="7" t="s">
        <v>380</v>
      </c>
    </row>
    <row r="3" spans="1:1">
      <c r="A3" s="5" t="s">
        <v>381</v>
      </c>
    </row>
    <row r="4" spans="1:1">
      <c r="A4" s="8" t="s">
        <v>382</v>
      </c>
    </row>
    <row r="5" spans="1:1">
      <c r="A5" s="6" t="s">
        <v>383</v>
      </c>
    </row>
    <row r="7" spans="1:1">
      <c r="A7" t="s">
        <v>384</v>
      </c>
    </row>
    <row r="8" spans="1:1">
      <c r="A8" s="24" t="s">
        <v>385</v>
      </c>
    </row>
    <row r="9" spans="1:1">
      <c r="A9" s="25" t="s">
        <v>386</v>
      </c>
    </row>
    <row r="10" spans="1:1">
      <c r="A10" s="26" t="s">
        <v>387</v>
      </c>
    </row>
    <row r="11" spans="1:1">
      <c r="A11" s="27" t="s">
        <v>388</v>
      </c>
    </row>
    <row r="12" spans="1:1">
      <c r="A12" s="28" t="s">
        <v>389</v>
      </c>
    </row>
    <row r="13" spans="1:1">
      <c r="A13" s="29" t="s">
        <v>390</v>
      </c>
    </row>
    <row r="14" spans="1:1">
      <c r="A14" s="30" t="s">
        <v>391</v>
      </c>
    </row>
    <row r="15" spans="1:1">
      <c r="A15" s="31" t="s">
        <v>392</v>
      </c>
    </row>
    <row r="16" spans="1:1">
      <c r="A16" s="3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BoM</vt:lpstr>
      <vt:lpstr>DNF</vt:lpstr>
      <vt:lpstr>Costs</vt:lpstr>
      <vt:lpstr>Costs (DNF)</vt:lpstr>
      <vt:lpstr>Colors</vt:lpstr>
      <vt:lpstr>'Costs (DNF)'!BoardQty</vt:lpstr>
      <vt:lpstr>'Costs'!BoardQty</vt:lpstr>
      <vt:lpstr>BoM!Print_Titles</vt:lpstr>
      <vt:lpstr>DNF!Print_Titles</vt:lpstr>
      <vt:lpstr>'Costs (DNF)'!TotalCost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2026-05-12T07:06:18Z</dcterms:created>
  <dcterms:modified xsi:type="dcterms:W3CDTF">2026-05-12T07:06:18Z</dcterms:modified>
</cp:coreProperties>
</file>